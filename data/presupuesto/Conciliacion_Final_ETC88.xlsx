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en" sheetId="1" state="visible" r:id="rId1"/>
    <sheet xmlns:r="http://schemas.openxmlformats.org/officeDocument/2006/relationships" name="1 Caja" sheetId="2" state="visible" r:id="rId2"/>
    <sheet xmlns:r="http://schemas.openxmlformats.org/officeDocument/2006/relationships" name="2 Presupuesto vs costo" sheetId="3" state="visible" r:id="rId3"/>
    <sheet xmlns:r="http://schemas.openxmlformats.org/officeDocument/2006/relationships" name="3 Al costo vs caja" sheetId="4" state="visible" r:id="rId4"/>
    <sheet xmlns:r="http://schemas.openxmlformats.org/officeDocument/2006/relationships" name="4 Base ETC 89" sheetId="5" state="visible" r:id="rId5"/>
    <sheet xmlns:r="http://schemas.openxmlformats.org/officeDocument/2006/relationships" name="5 Pendientes" sheetId="6" state="visible" r:id="rId6"/>
    <sheet xmlns:r="http://schemas.openxmlformats.org/officeDocument/2006/relationships" name="6 Ppto oficial vs Sistem" sheetId="7" state="visible" r:id="rId7"/>
    <sheet xmlns:r="http://schemas.openxmlformats.org/officeDocument/2006/relationships" name="7 Gastos" sheetId="8" state="visible" r:id="rId8"/>
    <sheet xmlns:r="http://schemas.openxmlformats.org/officeDocument/2006/relationships" name="8 Donaciones efectivo" sheetId="9" state="visible" r:id="rId9"/>
    <sheet xmlns:r="http://schemas.openxmlformats.org/officeDocument/2006/relationships" name="9 Especie" sheetId="10" state="visible" r:id="rId10"/>
    <sheet xmlns:r="http://schemas.openxmlformats.org/officeDocument/2006/relationships" name="10 Profondo" sheetId="11" state="visible" r:id="rId11"/>
    <sheet xmlns:r="http://schemas.openxmlformats.org/officeDocument/2006/relationships" name="11 Auditoría" sheetId="12" state="visible" r:id="rId12"/>
    <sheet xmlns:r="http://schemas.openxmlformats.org/officeDocument/2006/relationships" name="12 Fuentes y método" sheetId="13" state="visible" r:id="rId13"/>
    <sheet xmlns:r="http://schemas.openxmlformats.org/officeDocument/2006/relationships" name="13 Notas por partid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b val="1"/>
      <color rgb="00F7EFD9"/>
      <sz val="13"/>
    </font>
    <font>
      <i val="1"/>
      <color rgb="00666666"/>
      <sz val="9"/>
    </font>
    <font>
      <b val="1"/>
      <color rgb="005B3A29"/>
      <sz val="12"/>
    </font>
    <font>
      <b val="1"/>
      <color rgb="001E293B"/>
      <sz val="11"/>
    </font>
    <font>
      <color rgb="00888888"/>
      <sz val="9"/>
    </font>
    <font>
      <b val="1"/>
      <color rgb="000B1F3A"/>
      <sz val="12"/>
    </font>
    <font>
      <b val="1"/>
      <color rgb="001E293B"/>
      <sz val="10"/>
    </font>
    <font>
      <b val="1"/>
      <color rgb="0010B981"/>
      <sz val="12"/>
    </font>
    <font>
      <color rgb="001E293B"/>
      <sz val="10"/>
    </font>
    <font>
      <b val="1"/>
      <color rgb="00F59E0B"/>
      <sz val="12"/>
    </font>
    <font>
      <b val="1"/>
      <color rgb="00F59E0B"/>
      <sz val="10"/>
    </font>
    <font>
      <b val="1"/>
      <color rgb="00888888"/>
      <sz val="12"/>
    </font>
    <font>
      <b val="1"/>
      <color rgb="001E293B"/>
      <sz val="9"/>
    </font>
    <font>
      <color rgb="001E293B"/>
      <sz val="11"/>
    </font>
    <font>
      <b val="1"/>
      <color rgb="00EF4444"/>
      <sz val="12"/>
    </font>
    <font>
      <b val="1"/>
      <color rgb="00F7EFD9"/>
      <sz val="10"/>
    </font>
    <font>
      <b val="1"/>
      <color rgb="005B3A29"/>
      <sz val="10"/>
    </font>
    <font>
      <b val="1"/>
      <color rgb="00EF4444"/>
      <sz val="10"/>
    </font>
    <font>
      <color rgb="0010B981"/>
      <sz val="10"/>
    </font>
    <font>
      <b val="1"/>
      <color rgb="0010B981"/>
      <sz val="10"/>
    </font>
    <font>
      <color rgb="00F59E0B"/>
      <sz val="9"/>
    </font>
    <font>
      <color rgb="00EF4444"/>
      <sz val="10"/>
    </font>
    <font>
      <b val="1"/>
      <color rgb="00EF4444"/>
      <sz val="11"/>
    </font>
    <font>
      <b val="1"/>
      <color rgb="00F59E0B"/>
      <sz val="9"/>
    </font>
    <font>
      <b val="1"/>
      <color rgb="005B3A29"/>
      <sz val="11"/>
    </font>
    <font>
      <b val="1"/>
      <color rgb="0010B981"/>
      <sz val="9"/>
    </font>
    <font>
      <b val="1"/>
      <color rgb="00888888"/>
      <sz val="9"/>
    </font>
    <font>
      <color rgb="000B1F3A"/>
      <sz val="10"/>
    </font>
    <font>
      <color rgb="001E293B"/>
      <sz val="9"/>
    </font>
  </fonts>
  <fills count="14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0EAD6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E3F2FD"/>
      </patternFill>
    </fill>
    <fill>
      <patternFill patternType="solid">
        <fgColor rgb="00888888"/>
      </patternFill>
    </fill>
    <fill>
      <patternFill patternType="solid">
        <fgColor rgb="000B1F3A"/>
      </patternFill>
    </fill>
    <fill>
      <patternFill patternType="solid">
        <fgColor rgb="0010B981"/>
      </patternFill>
    </fill>
    <fill>
      <patternFill patternType="solid">
        <fgColor rgb="00FFF4E0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4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1" pivotButton="0" quotePrefix="0" xfId="0"/>
    <xf numFmtId="4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4" borderId="0" pivotButton="0" quotePrefix="0" xfId="0"/>
    <xf numFmtId="4" fontId="4" fillId="4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4" fillId="6" borderId="0" pivotButton="0" quotePrefix="0" xfId="0"/>
    <xf numFmtId="4" fontId="4" fillId="6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16" fillId="7" borderId="0" pivotButton="0" quotePrefix="0" xfId="0"/>
    <xf numFmtId="0" fontId="7" fillId="6" borderId="1" pivotButton="0" quotePrefix="0" xfId="0"/>
    <xf numFmtId="4" fontId="0" fillId="6" borderId="1" pivotButton="0" quotePrefix="0" xfId="0"/>
    <xf numFmtId="0" fontId="9" fillId="0" borderId="1" pivotButton="0" quotePrefix="0" xfId="0"/>
    <xf numFmtId="0" fontId="1" fillId="8" borderId="0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16" fillId="8" borderId="0" pivotButton="0" quotePrefix="0" xfId="0"/>
    <xf numFmtId="0" fontId="17" fillId="3" borderId="0" pivotButton="0" quotePrefix="0" xfId="0"/>
    <xf numFmtId="4" fontId="7" fillId="3" borderId="0" pivotButton="0" quotePrefix="0" xfId="0"/>
    <xf numFmtId="4" fontId="18" fillId="3" borderId="0" pivotButton="0" quotePrefix="0" xfId="0"/>
    <xf numFmtId="0" fontId="9" fillId="0" borderId="1" applyAlignment="1" pivotButton="0" quotePrefix="0" xfId="0">
      <alignment vertical="top" wrapText="1"/>
    </xf>
    <xf numFmtId="4" fontId="19" fillId="0" borderId="1" pivotButton="0" quotePrefix="0" xfId="0"/>
    <xf numFmtId="0" fontId="0" fillId="0" borderId="1" pivotButton="0" quotePrefix="0" xfId="0"/>
    <xf numFmtId="4" fontId="20" fillId="0" borderId="1" pivotButton="0" quotePrefix="0" xfId="0"/>
    <xf numFmtId="0" fontId="21" fillId="0" borderId="1" pivotButton="0" quotePrefix="0" xfId="0"/>
    <xf numFmtId="4" fontId="20" fillId="3" borderId="0" pivotButton="0" quotePrefix="0" xfId="0"/>
    <xf numFmtId="4" fontId="22" fillId="0" borderId="1" pivotButton="0" quotePrefix="0" xfId="0"/>
    <xf numFmtId="4" fontId="9" fillId="0" borderId="1" pivotButton="0" quotePrefix="0" xfId="0"/>
    <xf numFmtId="0" fontId="0" fillId="6" borderId="0" pivotButton="0" quotePrefix="0" xfId="0"/>
    <xf numFmtId="4" fontId="23" fillId="6" borderId="0" pivotButton="0" quotePrefix="0" xfId="0"/>
    <xf numFmtId="0" fontId="21" fillId="0" borderId="0" applyAlignment="1" pivotButton="0" quotePrefix="0" xfId="0">
      <alignment vertical="top" wrapText="1"/>
    </xf>
    <xf numFmtId="0" fontId="4" fillId="0" borderId="0" pivotButton="0" quotePrefix="0" xfId="0"/>
    <xf numFmtId="4" fontId="4" fillId="0" borderId="0" pivotButton="0" quotePrefix="0" xfId="0"/>
    <xf numFmtId="4" fontId="9" fillId="0" borderId="0" pivotButton="0" quotePrefix="0" xfId="0"/>
    <xf numFmtId="4" fontId="7" fillId="0" borderId="0" pivotButton="0" quotePrefix="0" xfId="0"/>
    <xf numFmtId="0" fontId="1" fillId="9" borderId="0" applyAlignment="1" pivotButton="0" quotePrefix="0" xfId="0">
      <alignment horizontal="center"/>
    </xf>
    <xf numFmtId="0" fontId="16" fillId="9" borderId="0" pivotButton="0" quotePrefix="0" xfId="0"/>
    <xf numFmtId="0" fontId="5" fillId="0" borderId="1" pivotButton="0" quotePrefix="0" xfId="0"/>
    <xf numFmtId="4" fontId="7" fillId="0" borderId="1" pivotButton="0" quotePrefix="0" xfId="0"/>
    <xf numFmtId="0" fontId="13" fillId="0" borderId="1" pivotButton="0" quotePrefix="0" xfId="0"/>
    <xf numFmtId="0" fontId="24" fillId="0" borderId="1" pivotButton="0" quotePrefix="0" xfId="0"/>
    <xf numFmtId="0" fontId="0" fillId="4" borderId="0" pivotButton="0" quotePrefix="0" xfId="0"/>
    <xf numFmtId="0" fontId="0" fillId="10" borderId="0" pivotButton="0" quotePrefix="0" xfId="0"/>
    <xf numFmtId="0" fontId="4" fillId="10" borderId="0" pivotButton="0" quotePrefix="0" xfId="0"/>
    <xf numFmtId="4" fontId="4" fillId="10" borderId="0" pivotButton="0" quotePrefix="0" xfId="0"/>
    <xf numFmtId="0" fontId="0" fillId="3" borderId="0" pivotButton="0" quotePrefix="0" xfId="0"/>
    <xf numFmtId="0" fontId="25" fillId="3" borderId="0" pivotButton="0" quotePrefix="0" xfId="0"/>
    <xf numFmtId="0" fontId="9" fillId="0" borderId="0" applyAlignment="1" pivotButton="0" quotePrefix="0" xfId="0">
      <alignment vertical="top" wrapText="1"/>
    </xf>
    <xf numFmtId="0" fontId="1" fillId="11" borderId="0" applyAlignment="1" pivotButton="0" quotePrefix="0" xfId="0">
      <alignment horizontal="center"/>
    </xf>
    <xf numFmtId="0" fontId="16" fillId="11" borderId="0" pivotButton="0" quotePrefix="0" xfId="0"/>
    <xf numFmtId="0" fontId="26" fillId="0" borderId="1" pivotButton="0" quotePrefix="0" xfId="0"/>
    <xf numFmtId="0" fontId="7" fillId="0" borderId="1" applyAlignment="1" pivotButton="0" quotePrefix="0" xfId="0">
      <alignment vertical="top" wrapText="1"/>
    </xf>
    <xf numFmtId="0" fontId="27" fillId="0" borderId="1" pivotButton="0" quotePrefix="0" xfId="0"/>
    <xf numFmtId="0" fontId="1" fillId="12" borderId="0" applyAlignment="1" pivotButton="0" quotePrefix="0" xfId="0">
      <alignment horizontal="center"/>
    </xf>
    <xf numFmtId="0" fontId="16" fillId="12" borderId="0" pivotButton="0" quotePrefix="0" xfId="0"/>
    <xf numFmtId="0" fontId="9" fillId="13" borderId="1" pivotButton="0" quotePrefix="0" xfId="0"/>
    <xf numFmtId="0" fontId="28" fillId="13" borderId="1" pivotButton="0" quotePrefix="0" xfId="0"/>
    <xf numFmtId="4" fontId="0" fillId="13" borderId="1" pivotButton="0" quotePrefix="0" xfId="0"/>
    <xf numFmtId="0" fontId="5" fillId="13" borderId="1" applyAlignment="1" pivotButton="0" quotePrefix="0" xfId="0">
      <alignment vertical="top" wrapText="1"/>
    </xf>
    <xf numFmtId="0" fontId="0" fillId="5" borderId="0" pivotButton="0" quotePrefix="0" xfId="0"/>
    <xf numFmtId="0" fontId="16" fillId="2" borderId="0" pivotButton="0" quotePrefix="0" xfId="0"/>
    <xf numFmtId="0" fontId="9" fillId="10" borderId="1" pivotButton="0" quotePrefix="0" xfId="0"/>
    <xf numFmtId="0" fontId="11" fillId="0" borderId="1" pivotButton="0" quotePrefix="0" xfId="0"/>
    <xf numFmtId="0" fontId="22" fillId="0" borderId="1" pivotButton="0" quotePrefix="0" xfId="0"/>
    <xf numFmtId="0" fontId="4" fillId="6" borderId="1" pivotButton="0" quotePrefix="0" xfId="0"/>
    <xf numFmtId="4" fontId="4" fillId="6" borderId="1" pivotButton="0" quotePrefix="0" xfId="0"/>
    <xf numFmtId="0" fontId="29" fillId="0" borderId="1" pivotButton="0" quotePrefix="0" xfId="0"/>
    <xf numFmtId="0" fontId="20" fillId="0" borderId="1" pivotButton="0" quotePrefix="0" xfId="0"/>
    <xf numFmtId="0" fontId="1" fillId="7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 dónde salió el dinero (entradas)</a:t>
            </a:r>
          </a:p>
        </rich>
      </tx>
    </title>
    <plotArea>
      <pieChart>
        <varyColors val="1"/>
        <ser>
          <idx val="0"/>
          <order val="0"/>
          <tx>
            <strRef>
              <f>'0 Resumen'!I2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3A2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B1F3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'0 Resumen'!$H$3:$H$7</f>
            </numRef>
          </cat>
          <val>
            <numRef>
              <f>'0 Resumen'!$I$3:$I$7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 qué se fue el dinero (salidas de caja)</a:t>
            </a:r>
          </a:p>
        </rich>
      </tx>
    </title>
    <plotArea>
      <pieChart>
        <varyColors val="1"/>
        <ser>
          <idx val="0"/>
          <order val="0"/>
          <tx>
            <strRef>
              <f>'0 Resumen'!L2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3A2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B1F3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B6B4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6F9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BF8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9A22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4654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'0 Resumen'!$K$3:$K$12</f>
            </numRef>
          </cat>
          <val>
            <numRef>
              <f>'0 Resumen'!$L$3:$L$12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816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3816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B3A29"/>
    <outlinePr summaryBelow="1" summaryRight="1"/>
    <pageSetUpPr fitToPage="1"/>
  </sheetPr>
  <dimension ref="A1:L5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2" customWidth="1" min="3" max="3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ETC 88 · CONCILIACIÓN FINAL · RESUMEN</t>
        </is>
      </c>
    </row>
    <row r="2">
      <c r="A2" s="2" t="inlineStr">
        <is>
          <t>Higüey, 4–6 sep 2026 · 99 personas en la casa · cierre al 11-sep-2026 · presupuesto oficial: 11-Ago (596,249.56) · cuota participante 3,500 · cuota equipo 2,000</t>
        </is>
      </c>
      <c r="H2" t="inlineStr">
        <is>
          <t>Concepto</t>
        </is>
      </c>
      <c r="I2" t="inlineStr">
        <is>
          <t>RD$</t>
        </is>
      </c>
      <c r="K2" t="inlineStr">
        <is>
          <t>Concepto</t>
        </is>
      </c>
      <c r="L2" t="inlineStr">
        <is>
          <t>RD$</t>
        </is>
      </c>
    </row>
    <row r="3">
      <c r="H3" t="inlineStr">
        <is>
          <t>Pagos de participantes</t>
        </is>
      </c>
      <c r="I3" t="n">
        <v>156800</v>
      </c>
      <c r="K3" t="inlineStr">
        <is>
          <t>Casa</t>
        </is>
      </c>
      <c r="L3" t="n">
        <v>240220</v>
      </c>
    </row>
    <row r="4">
      <c r="A4" s="3" t="inlineStr">
        <is>
          <t>LOS SEIS NÚMEROS</t>
        </is>
      </c>
      <c r="H4" t="inlineStr">
        <is>
          <t>Donaciones en efectivo</t>
        </is>
      </c>
      <c r="I4" t="n">
        <v>155021</v>
      </c>
      <c r="K4" t="inlineStr">
        <is>
          <t>Cocina</t>
        </is>
      </c>
      <c r="L4" t="n">
        <v>95489</v>
      </c>
    </row>
    <row r="5">
      <c r="A5" s="4" t="inlineStr">
        <is>
          <t>Entradas totales</t>
        </is>
      </c>
      <c r="B5" s="5" t="n">
        <v>552487.4</v>
      </c>
      <c r="C5" s="6" t="inlineStr">
        <is>
          <t>participantes + donaciones + profondo + cuotas + tardanzas</t>
        </is>
      </c>
      <c r="H5" t="inlineStr">
        <is>
          <t>Profondo</t>
        </is>
      </c>
      <c r="I5" t="n">
        <v>135866.4</v>
      </c>
      <c r="K5" t="inlineStr">
        <is>
          <t>Transporte</t>
        </is>
      </c>
      <c r="L5" t="n">
        <v>45000</v>
      </c>
    </row>
    <row r="6">
      <c r="A6" s="4" t="inlineStr">
        <is>
          <t>Salidas de caja</t>
        </is>
      </c>
      <c r="B6" s="5" t="n">
        <v>515944</v>
      </c>
      <c r="C6" s="6" t="inlineStr">
        <is>
          <t>22 gastos del registro de tesorería</t>
        </is>
      </c>
      <c r="H6" t="inlineStr">
        <is>
          <t>Cuotas del equipo</t>
        </is>
      </c>
      <c r="I6" t="n">
        <v>98000</v>
      </c>
      <c r="K6" t="inlineStr">
        <is>
          <t>Materiales</t>
        </is>
      </c>
      <c r="L6" t="n">
        <v>38325</v>
      </c>
    </row>
    <row r="7">
      <c r="A7" s="4" t="inlineStr">
        <is>
          <t>Balance → real en cuentas</t>
        </is>
      </c>
      <c r="B7" s="5" t="n">
        <v>36543.40000000002</v>
      </c>
      <c r="C7" s="6" t="inlineStr">
        <is>
          <t>en el banco 34,337; la diferencia (2,206.40) es el impuesto bancario por transacción más unas copias</t>
        </is>
      </c>
      <c r="H7" t="inlineStr">
        <is>
          <t>Tardanzas</t>
        </is>
      </c>
      <c r="I7" t="n">
        <v>6800</v>
      </c>
      <c r="K7" t="inlineStr">
        <is>
          <t>Formación</t>
        </is>
      </c>
      <c r="L7" t="n">
        <v>33650</v>
      </c>
    </row>
    <row r="8">
      <c r="A8" s="4" t="inlineStr">
        <is>
          <t>Lo que costó el retiro</t>
        </is>
      </c>
      <c r="B8" s="5" t="n">
        <v>617069</v>
      </c>
      <c r="C8" s="6" t="inlineStr">
        <is>
          <t>caja + especie (92,405) + cortesías de la casa (8,720)</t>
        </is>
      </c>
      <c r="K8" t="inlineStr">
        <is>
          <t>Equipo</t>
        </is>
      </c>
      <c r="L8" t="n">
        <v>28800</v>
      </c>
    </row>
    <row r="9">
      <c r="A9" s="4" t="inlineStr">
        <is>
          <t>Cubierto sin pagar</t>
        </is>
      </c>
      <c r="B9" s="5" t="n">
        <v>101125</v>
      </c>
      <c r="C9" s="6" t="inlineStr">
        <is>
          <t>16.4% del costo del retiro</t>
        </is>
      </c>
      <c r="K9" t="inlineStr">
        <is>
          <t>Litúrgico</t>
        </is>
      </c>
      <c r="L9" t="n">
        <v>10000</v>
      </c>
    </row>
    <row r="10">
      <c r="A10" s="4" t="inlineStr">
        <is>
          <t>Costo por persona (99): caja / total</t>
        </is>
      </c>
      <c r="B10" s="5" t="n">
        <v>5211.555555555556</v>
      </c>
      <c r="C10" s="6" t="inlineStr">
        <is>
          <t>5,212 de caja · 6,233 al costo · la cuota del participante fue 3,500</t>
        </is>
      </c>
      <c r="K10" t="inlineStr">
        <is>
          <t>Música</t>
        </is>
      </c>
      <c r="L10" t="n">
        <v>9000</v>
      </c>
    </row>
    <row r="11">
      <c r="K11" t="inlineStr">
        <is>
          <t>Eventos</t>
        </is>
      </c>
      <c r="L11" t="n">
        <v>7740</v>
      </c>
    </row>
    <row r="12">
      <c r="A12" s="7" t="inlineStr">
        <is>
          <t>TRES RESPUESTAS</t>
        </is>
      </c>
      <c r="K12" t="inlineStr">
        <is>
          <t>Guías</t>
        </is>
      </c>
      <c r="L12" t="n">
        <v>7720</v>
      </c>
    </row>
    <row r="13">
      <c r="A13" s="8" t="inlineStr">
        <is>
          <t>1 · ¿Cuánto costó el retiro?</t>
        </is>
      </c>
      <c r="C13" s="6" t="inlineStr">
        <is>
          <t>617,069 en total. De caja salieron 515,944; la diferencia la pusieron 30 donantes en especie y la casa en cortesías.</t>
        </is>
      </c>
    </row>
    <row r="14">
      <c r="A14" s="8" t="inlineStr">
        <is>
          <t>2 · ¿Cómo se pagó?</t>
        </is>
      </c>
      <c r="C14" s="6" t="inlineStr">
        <is>
          <t>Pagos de participantes 28% · Donaciones en efectivo 28% · Profondo 25% · Cuotas del equipo 18% · Tardanzas 1%</t>
        </is>
      </c>
    </row>
    <row r="15">
      <c r="A15" s="8" t="inlineStr">
        <is>
          <t>3 · ¿Cuadra con el banco?</t>
        </is>
      </c>
      <c r="C15" s="6" t="inlineStr">
        <is>
          <t>Sí. Balance 36,543.40 − impuesto bancario 2,136.86 − copias pagadas 69.54 = 34,337 en cuentas al 11-sep.</t>
        </is>
      </c>
    </row>
    <row r="17">
      <c r="A17" s="9" t="inlineStr">
        <is>
          <t>PRESUPUESTO OFICIAL vs REALIDAD</t>
        </is>
      </c>
    </row>
    <row r="18">
      <c r="A18" s="10" t="inlineStr">
        <is>
          <t>Presupuesto oficial (11-Ago)</t>
        </is>
      </c>
      <c r="B18" s="11" t="n">
        <v>596249.5599999999</v>
      </c>
      <c r="C18" s="6" t="inlineStr">
        <is>
          <t>costo completo, tarifa real de la casa (2,360)</t>
        </is>
      </c>
    </row>
    <row r="19">
      <c r="A19" s="10" t="inlineStr">
        <is>
          <t>Lo que costó</t>
        </is>
      </c>
      <c r="B19" s="11" t="n">
        <v>617069</v>
      </c>
      <c r="C19" s="6" t="inlineStr">
        <is>
          <t>+20,819.44 (+3.5%): el retiro valió un poco más de lo presupuestado</t>
        </is>
      </c>
    </row>
    <row r="20">
      <c r="A20" s="10" t="inlineStr">
        <is>
          <t>Lo que salió de caja</t>
        </is>
      </c>
      <c r="B20" s="11" t="n">
        <v>515944</v>
      </c>
      <c r="C20" s="6" t="inlineStr">
        <is>
          <t>-80,305.56 (-13.5%): nos costó bastante menos, por lo cubierto</t>
        </is>
      </c>
    </row>
    <row r="22">
      <c r="A22" s="12" t="inlineStr">
        <is>
          <t>PENDIENTES (0 abiertos · 2 notas)</t>
        </is>
      </c>
    </row>
    <row r="23">
      <c r="A23" s="13" t="inlineStr">
        <is>
          <t>Una donación sin identificar (1,000)</t>
        </is>
      </c>
      <c r="C23" s="6" t="inlineStr">
        <is>
          <t>Dejar constancia en el acta de ese depósito de 1,000 y de que la donación de Yendry Rincón no tiene captura.</t>
        </is>
      </c>
    </row>
    <row r="24">
      <c r="A24" s="13" t="inlineStr">
        <is>
          <t>Biblias: las 2 de Camila</t>
        </is>
      </c>
      <c r="C24" s="6" t="inlineStr">
        <is>
          <t>Confirmar con Camila y con Juan Manuel: si ella puso 1,360 de su bolsillo, o se le reembolsa, o se registra como donación en especie (el costo del retiro subiría a 618,429 y la especie a 93,765). La caja y el cuadre con el banco no cambian en ningún caso.</t>
        </is>
      </c>
    </row>
    <row r="26">
      <c r="A26" s="3" t="inlineStr">
        <is>
          <t>DISTRIBUCIÓN DEL DINERO</t>
        </is>
      </c>
    </row>
    <row r="27">
      <c r="A27" s="6" t="inlineStr">
        <is>
          <t>Izquierda: de dónde salió cada peso que entró. Derecha: en qué se fue cada peso que salió de caja.</t>
        </is>
      </c>
    </row>
    <row r="46">
      <c r="A46" s="14" t="inlineStr">
        <is>
          <t>HOJAS</t>
        </is>
      </c>
    </row>
    <row r="47">
      <c r="A47" s="15" t="inlineStr">
        <is>
          <t>1 Caja</t>
        </is>
      </c>
      <c r="C47" s="6" t="inlineStr">
        <is>
          <t>entradas por fuente, salidas, balance, banco</t>
        </is>
      </c>
    </row>
    <row r="48">
      <c r="A48" s="15" t="inlineStr">
        <is>
          <t>2 Presupuesto vs costo</t>
        </is>
      </c>
      <c r="C48" s="6" t="inlineStr">
        <is>
          <t>presupuestado → costó → cubierto sin pagar → pagado de caja, por área</t>
        </is>
      </c>
    </row>
    <row r="49">
      <c r="A49" s="15" t="inlineStr">
        <is>
          <t>3 Al costo vs caja</t>
        </is>
      </c>
      <c r="C49" s="6" t="inlineStr">
        <is>
          <t>qué vale el retiro y qué nos costó; la casa al detalle</t>
        </is>
      </c>
    </row>
    <row r="50">
      <c r="A50" s="15" t="inlineStr">
        <is>
          <t>4 Base ETC 89</t>
        </is>
      </c>
      <c r="C50" s="6" t="inlineStr">
        <is>
          <t>costo real por partida y por persona; recomendaciones para el próximo</t>
        </is>
      </c>
    </row>
    <row r="51">
      <c r="A51" s="15" t="inlineStr">
        <is>
          <t>5 Pendientes</t>
        </is>
      </c>
      <c r="C51" s="6" t="inlineStr">
        <is>
          <t>una sola lista: abiertos, notas, cerrados</t>
        </is>
      </c>
    </row>
    <row r="52">
      <c r="A52" s="15" t="inlineStr">
        <is>
          <t>6 Ppto oficial vs Sistem</t>
        </is>
      </c>
      <c r="C52" s="6" t="inlineStr">
        <is>
          <t>los dos presupuestos por área</t>
        </is>
      </c>
    </row>
    <row r="53">
      <c r="A53" s="15" t="inlineStr">
        <is>
          <t>7–10 Anexos</t>
        </is>
      </c>
      <c r="C53" s="6" t="inlineStr">
        <is>
          <t>Gastos · Donaciones efectivo · Especie · Profondo (con la liquidación de la comisión)</t>
        </is>
      </c>
    </row>
    <row r="54">
      <c r="A54" s="15" t="inlineStr">
        <is>
          <t>11 Auditoría</t>
        </is>
      </c>
      <c r="C54" s="6" t="inlineStr">
        <is>
          <t>37 verificaciones recalculadas (37 cuadran)</t>
        </is>
      </c>
    </row>
    <row r="55">
      <c r="A55" s="15" t="inlineStr">
        <is>
          <t>12 Fuentes y método</t>
        </is>
      </c>
      <c r="C55" s="6" t="inlineStr">
        <is>
          <t>de dónde sale cada número y las reglas usadas</t>
        </is>
      </c>
    </row>
    <row r="56">
      <c r="A56" s="15" t="inlineStr">
        <is>
          <t>13 Notas por partida</t>
        </is>
      </c>
      <c r="C56" s="6" t="inlineStr">
        <is>
          <t>la explicación de cada partida del presupuesto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C3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0" customWidth="1" min="3" max="3"/>
  </cols>
  <sheetData>
    <row r="1">
      <c r="A1" s="1" t="inlineStr">
        <is>
          <t>CAJA · ETC 88</t>
        </is>
      </c>
    </row>
    <row r="2">
      <c r="A2" s="2" t="inlineStr">
        <is>
          <t>fuente: registro de tesorería del tablero de finanzas (gastos, donaciones, profondo; extraído 11-sep) · estado de cuenta al 11-sep</t>
        </is>
      </c>
    </row>
    <row r="4">
      <c r="A4" s="3" t="inlineStr">
        <is>
          <t>ENTRADAS</t>
        </is>
      </c>
    </row>
    <row r="5">
      <c r="A5" s="16" t="inlineStr">
        <is>
          <t>Pagos de participantes</t>
        </is>
      </c>
      <c r="B5" s="17" t="n">
        <v>156800</v>
      </c>
      <c r="C5" s="18" t="inlineStr">
        <is>
          <t>28.4% · 46 de los 48 participantes con cuota (2 exonerados) · cuota 3,500 · cuatro pagaron menos (referencia teórica 161,000)</t>
        </is>
      </c>
    </row>
    <row r="6">
      <c r="A6" s="16" t="inlineStr">
        <is>
          <t>Donaciones en efectivo</t>
        </is>
      </c>
      <c r="B6" s="17" t="n">
        <v>155021</v>
      </c>
      <c r="C6" s="18" t="inlineStr">
        <is>
          <t>28.1% · 49 aportantes</t>
        </is>
      </c>
    </row>
    <row r="7">
      <c r="A7" s="16" t="inlineStr">
        <is>
          <t>Profondo (rifa + venta de comida y helados) — entregado neto</t>
        </is>
      </c>
      <c r="B7" s="17" t="n">
        <v>135866.4</v>
      </c>
      <c r="C7" s="18" t="inlineStr">
        <is>
          <t>24.6% · bruto 154,420 − premios 19,900 + ventas posteriores 1,346.40</t>
        </is>
      </c>
    </row>
    <row r="8">
      <c r="A8" s="16" t="inlineStr">
        <is>
          <t>Cuotas del equipo</t>
        </is>
      </c>
      <c r="B8" s="17" t="n">
        <v>98000</v>
      </c>
      <c r="C8" s="18" t="inlineStr">
        <is>
          <t>17.7% · 49 miembros × 2,000 · 100%. De los 56 del equipo quedan fuera los 3 guías de reserva y los 4 asesores que no pagaron cuota (el padre Paul, la sor, Petra y Johanny)</t>
        </is>
      </c>
    </row>
    <row r="9">
      <c r="A9" s="16" t="inlineStr">
        <is>
          <t>Tardanzas</t>
        </is>
      </c>
      <c r="B9" s="17" t="n">
        <v>6800</v>
      </c>
      <c r="C9" s="18" t="inlineStr">
        <is>
          <t>1.2% · multas de formaciones</t>
        </is>
      </c>
    </row>
    <row r="10">
      <c r="A10" s="19" t="inlineStr">
        <is>
          <t>ENTRADAS TOTALES</t>
        </is>
      </c>
      <c r="B10" s="20" t="n">
        <v>552487.4</v>
      </c>
    </row>
    <row r="12">
      <c r="A12" s="21" t="inlineStr">
        <is>
          <t>SALIDAS</t>
        </is>
      </c>
    </row>
    <row r="13">
      <c r="A13" s="22" t="inlineStr">
        <is>
          <t>Gastos (22 movimientos)</t>
        </is>
      </c>
      <c r="B13" s="11" t="n">
        <v>515944</v>
      </c>
      <c r="C13" s="6" t="inlineStr">
        <is>
          <t>detalle en la hoja 7 Gastos</t>
        </is>
      </c>
    </row>
    <row r="14">
      <c r="A14" s="22" t="inlineStr">
        <is>
          <t>Salidas profondo</t>
        </is>
      </c>
      <c r="B14" s="11" t="n">
        <v>0</v>
      </c>
      <c r="C14" s="6" t="inlineStr">
        <is>
          <t>ninguna: la comisión entregó el neto</t>
        </is>
      </c>
    </row>
    <row r="15">
      <c r="A15" s="23" t="inlineStr">
        <is>
          <t>SALIDAS TOTALES</t>
        </is>
      </c>
      <c r="B15" s="24" t="n">
        <v>515944</v>
      </c>
    </row>
    <row r="17">
      <c r="A17" s="7" t="inlineStr">
        <is>
          <t>BALANCE</t>
        </is>
      </c>
    </row>
    <row r="18">
      <c r="A18" s="25" t="inlineStr">
        <is>
          <t>Balance (entradas − salidas)</t>
        </is>
      </c>
      <c r="B18" s="26" t="n">
        <v>36543.40000000002</v>
      </c>
    </row>
    <row r="19">
      <c r="A19" s="22" t="inlineStr">
        <is>
          <t>Dinero real en cuentas al 11-sep</t>
        </is>
      </c>
      <c r="B19" s="11" t="n">
        <v>34337</v>
      </c>
    </row>
    <row r="20">
      <c r="A20" s="27" t="inlineStr">
        <is>
          <t>Impuesto bancario por transacción (0.20% sobre 1,068,431)</t>
        </is>
      </c>
      <c r="B20" s="28" t="n">
        <v>-2136.86</v>
      </c>
    </row>
    <row r="21">
      <c r="A21" s="27" t="inlineStr">
        <is>
          <t>Copias pagadas</t>
        </is>
      </c>
      <c r="B21" s="28" t="n">
        <v>-69.54000000000001</v>
      </c>
    </row>
    <row r="23">
      <c r="A23" s="14" t="inlineStr">
        <is>
          <t>DE DÓNDE SALE LA DIFERENCIA CON EL BANCO</t>
        </is>
      </c>
    </row>
    <row r="24">
      <c r="A24" s="29" t="inlineStr">
        <is>
          <t>Escenario de impuesto</t>
        </is>
      </c>
      <c r="B24" s="29" t="inlineStr">
        <is>
          <t>Impuesto</t>
        </is>
      </c>
      <c r="C24" s="29" t="inlineStr">
        <is>
          <t>Resto: copias</t>
        </is>
      </c>
    </row>
    <row r="25">
      <c r="A25" s="30" t="inlineStr">
        <is>
          <t>0.20% sobre todo lo que se movió (entradas + salidas)</t>
        </is>
      </c>
      <c r="B25" s="31" t="n">
        <v>2136.86</v>
      </c>
      <c r="C25" s="31" t="n">
        <v>69.54000000000001</v>
      </c>
    </row>
    <row r="26">
      <c r="A26" s="32" t="inlineStr">
        <is>
          <t>0.20% solo sobre las salidas</t>
        </is>
      </c>
      <c r="B26" s="17" t="n">
        <v>1031.89</v>
      </c>
      <c r="C26" s="17" t="n">
        <v>1174.51</v>
      </c>
    </row>
    <row r="27">
      <c r="A27" s="32" t="inlineStr">
        <is>
          <t>0.15% sobre todo lo que se movió</t>
        </is>
      </c>
      <c r="B27" s="17" t="n">
        <v>1602.65</v>
      </c>
      <c r="C27" s="17" t="n">
        <v>603.75</v>
      </c>
    </row>
    <row r="28">
      <c r="A28" s="6" t="inlineStr">
        <is>
          <t>El escenario resaltado es el que usa este archivo. Si el estado de cuenta muestra otra tasa, se cambia el dato y todo se recalcula.</t>
        </is>
      </c>
    </row>
    <row r="30">
      <c r="A30" s="27" t="inlineStr">
        <is>
          <t>Efectivo de imprevistos 15,000: cocina en la casa + reembolso del salón</t>
        </is>
      </c>
      <c r="B30" s="28" t="n">
        <v>15000</v>
      </c>
      <c r="C30" s="6" t="inlineStr">
        <is>
          <t>5,000 a cocina en la casa + 10,000 reembolso del salón de formaciones (liquidado)</t>
        </is>
      </c>
    </row>
    <row r="32">
      <c r="A32" s="9" t="inlineStr">
        <is>
          <t>APOYO TOTAL DONADO</t>
        </is>
      </c>
    </row>
    <row r="33">
      <c r="A33" s="22" t="inlineStr">
        <is>
          <t>Donaciones en efectivo (entraron a caja)</t>
        </is>
      </c>
      <c r="B33" s="11" t="n">
        <v>155021</v>
      </c>
    </row>
    <row r="34">
      <c r="A34" s="22" t="inlineStr">
        <is>
          <t>Donaciones en especie (bajaron el costo · a precio de presupuesto)</t>
        </is>
      </c>
      <c r="B34" s="11" t="n">
        <v>92405</v>
      </c>
    </row>
    <row r="35">
      <c r="A35" s="22" t="inlineStr">
        <is>
          <t>Cortesías de la casa</t>
        </is>
      </c>
      <c r="B35" s="11" t="n">
        <v>8720</v>
      </c>
      <c r="C35" s="6" t="inlineStr">
        <is>
          <t>8 × 500 del jueves + 2 × 2,360 (el padre y la sor)</t>
        </is>
      </c>
    </row>
    <row r="36">
      <c r="A36" s="19" t="inlineStr">
        <is>
          <t>TOTAL DONADO</t>
        </is>
      </c>
      <c r="B36" s="20" t="n">
        <v>256146</v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</cols>
  <sheetData>
    <row r="1">
      <c r="A1" s="33" t="inlineStr">
        <is>
          <t>PRESUPUESTO vs COSTO — lo presupuestado (11-Ago), lo que costó y cómo se cubrió</t>
        </is>
      </c>
    </row>
    <row r="2" ht="30" customHeight="1">
      <c r="A2" s="34" t="inlineStr">
        <is>
          <t>Costó = pagado de caja + cubierto sin pagar (donaciones en especie a precio de presupuesto y cortesías de la casa). Diferencia = costó − presupuestado: positivo, costó más; negativo, costó menos. La explicación de cada partida está en la hoja 13.</t>
        </is>
      </c>
    </row>
    <row r="3">
      <c r="A3" s="35" t="inlineStr">
        <is>
          <t>Área</t>
        </is>
      </c>
      <c r="B3" s="35" t="inlineStr">
        <is>
          <t>Partida</t>
        </is>
      </c>
      <c r="C3" s="35" t="inlineStr">
        <is>
          <t>Presupuestado</t>
        </is>
      </c>
      <c r="D3" s="35" t="inlineStr">
        <is>
          <t>Costó</t>
        </is>
      </c>
      <c r="E3" s="35" t="inlineStr">
        <is>
          <t>Cubierto sin pagar</t>
        </is>
      </c>
      <c r="F3" s="35" t="inlineStr">
        <is>
          <t>Pagado de caja</t>
        </is>
      </c>
      <c r="G3" s="35" t="inlineStr">
        <is>
          <t>Diferencia</t>
        </is>
      </c>
    </row>
    <row r="4">
      <c r="A4" s="36" t="inlineStr">
        <is>
          <t>Casa</t>
        </is>
      </c>
      <c r="B4" s="36" t="inlineStr">
        <is>
          <t>Casa — subtotal</t>
        </is>
      </c>
      <c r="C4" s="37" t="n">
        <v>236000</v>
      </c>
      <c r="D4" s="37" t="n">
        <v>248940</v>
      </c>
      <c r="E4" s="37" t="n">
        <v>8720</v>
      </c>
      <c r="F4" s="37" t="n">
        <v>240220</v>
      </c>
      <c r="G4" s="38" t="n">
        <v>12940</v>
      </c>
    </row>
    <row r="5" outlineLevel="1">
      <c r="B5" s="39" t="inlineStr">
        <is>
          <t>Hospedaje base: 97 pers × 2,360 (vie–dom)</t>
        </is>
      </c>
      <c r="C5" s="17" t="n">
        <v>236000</v>
      </c>
      <c r="D5" s="17" t="n">
        <v>228920</v>
      </c>
      <c r="E5" s="17" t="n">
        <v>0</v>
      </c>
      <c r="F5" s="17" t="n">
        <v>228920</v>
      </c>
      <c r="G5" s="40" t="n">
        <v>-7080</v>
      </c>
    </row>
    <row r="6" outlineLevel="1">
      <c r="B6" s="39" t="inlineStr">
        <is>
          <t>Cortesía de la casa: 2 pers vie–dom sin cobro (el padre y la sor)</t>
        </is>
      </c>
      <c r="C6" s="41" t="n"/>
      <c r="D6" s="17" t="n">
        <v>4720</v>
      </c>
      <c r="E6" s="42" t="n">
        <v>4720</v>
      </c>
      <c r="F6" s="17" t="n">
        <v>0</v>
      </c>
      <c r="G6" s="43" t="inlineStr">
        <is>
          <t>no presupuestado</t>
        </is>
      </c>
    </row>
    <row r="7" outlineLevel="1">
      <c r="B7" s="39" t="inlineStr">
        <is>
          <t>Noche del jueves (avanzada): 19 pers × 500</t>
        </is>
      </c>
      <c r="C7" s="41" t="n"/>
      <c r="D7" s="17" t="n">
        <v>9500</v>
      </c>
      <c r="E7" s="17" t="n">
        <v>0</v>
      </c>
      <c r="F7" s="17" t="n">
        <v>9500</v>
      </c>
      <c r="G7" s="43" t="inlineStr">
        <is>
          <t>no presupuestado</t>
        </is>
      </c>
    </row>
    <row r="8" outlineLevel="1">
      <c r="B8" s="39" t="inlineStr">
        <is>
          <t>Cortesía de la casa: 8 pers del jueves sin cobro</t>
        </is>
      </c>
      <c r="C8" s="41" t="n"/>
      <c r="D8" s="17" t="n">
        <v>4000</v>
      </c>
      <c r="E8" s="42" t="n">
        <v>4000</v>
      </c>
      <c r="F8" s="17" t="n">
        <v>0</v>
      </c>
      <c r="G8" s="43" t="inlineStr">
        <is>
          <t>no presupuestado</t>
        </is>
      </c>
    </row>
    <row r="9" outlineLevel="1">
      <c r="B9" s="39" t="inlineStr">
        <is>
          <t>Habitaciones para pequeños grupos (2 noches)</t>
        </is>
      </c>
      <c r="C9" s="41" t="n"/>
      <c r="D9" s="17" t="n">
        <v>1800</v>
      </c>
      <c r="E9" s="17" t="n">
        <v>0</v>
      </c>
      <c r="F9" s="17" t="n">
        <v>1800</v>
      </c>
      <c r="G9" s="43" t="inlineStr">
        <is>
          <t>no presupuestado</t>
        </is>
      </c>
    </row>
    <row r="10" outlineLevel="1">
      <c r="B10" s="39" t="inlineStr">
        <is>
          <t>Comida de avanzada del jueves (comunidad/cena)</t>
        </is>
      </c>
      <c r="C10" s="41" t="n"/>
      <c r="D10" s="17" t="n">
        <v>0</v>
      </c>
      <c r="E10" s="17" t="n">
        <v>0</v>
      </c>
      <c r="F10" s="17" t="n">
        <v>0</v>
      </c>
      <c r="G10" s="43" t="inlineStr"/>
    </row>
    <row r="11">
      <c r="A11" s="36" t="inlineStr">
        <is>
          <t>Transporte</t>
        </is>
      </c>
      <c r="B11" s="36" t="inlineStr">
        <is>
          <t>Transporte — subtotal</t>
        </is>
      </c>
      <c r="C11" s="37" t="n">
        <v>45000</v>
      </c>
      <c r="D11" s="37" t="n">
        <v>45000</v>
      </c>
      <c r="E11" s="37" t="n">
        <v>0</v>
      </c>
      <c r="F11" s="37" t="n">
        <v>45000</v>
      </c>
      <c r="G11" s="44" t="n">
        <v>0</v>
      </c>
    </row>
    <row r="12" outlineLevel="1">
      <c r="B12" s="39" t="inlineStr">
        <is>
          <t>Autobuses ida/vuelta</t>
        </is>
      </c>
      <c r="C12" s="17" t="n">
        <v>45000</v>
      </c>
      <c r="D12" s="17" t="n">
        <v>35000</v>
      </c>
      <c r="E12" s="17" t="n">
        <v>0</v>
      </c>
      <c r="F12" s="17" t="n">
        <v>35000</v>
      </c>
      <c r="G12" s="40" t="n">
        <v>-10000</v>
      </c>
    </row>
    <row r="13" outlineLevel="1">
      <c r="B13" s="39" t="inlineStr">
        <is>
          <t>Desvío del transporte</t>
        </is>
      </c>
      <c r="C13" s="41" t="n"/>
      <c r="D13" s="17" t="n">
        <v>10000</v>
      </c>
      <c r="E13" s="17" t="n">
        <v>0</v>
      </c>
      <c r="F13" s="17" t="n">
        <v>10000</v>
      </c>
      <c r="G13" s="43" t="inlineStr">
        <is>
          <t>no presupuestado</t>
        </is>
      </c>
    </row>
    <row r="14">
      <c r="A14" s="36" t="inlineStr">
        <is>
          <t>Materiales</t>
        </is>
      </c>
      <c r="B14" s="36" t="inlineStr">
        <is>
          <t>Materiales — subtotal</t>
        </is>
      </c>
      <c r="C14" s="37" t="n">
        <v>85600</v>
      </c>
      <c r="D14" s="37" t="n">
        <v>86925</v>
      </c>
      <c r="E14" s="37" t="n">
        <v>48600</v>
      </c>
      <c r="F14" s="37" t="n">
        <v>38325</v>
      </c>
      <c r="G14" s="38" t="n">
        <v>1325</v>
      </c>
    </row>
    <row r="15" outlineLevel="1">
      <c r="B15" s="39" t="inlineStr">
        <is>
          <t>Biblias (52 × 680)</t>
        </is>
      </c>
      <c r="C15" s="17" t="n">
        <v>34000</v>
      </c>
      <c r="D15" s="17" t="n">
        <v>35360</v>
      </c>
      <c r="E15" s="17" t="n">
        <v>0</v>
      </c>
      <c r="F15" s="17" t="n">
        <v>35360</v>
      </c>
      <c r="G15" s="45" t="n">
        <v>1360</v>
      </c>
    </row>
    <row r="16" outlineLevel="1">
      <c r="B16" s="39" t="inlineStr">
        <is>
          <t>Peces ICTUS (60)</t>
        </is>
      </c>
      <c r="C16" s="17" t="n">
        <v>36000</v>
      </c>
      <c r="D16" s="17" t="n">
        <v>36000</v>
      </c>
      <c r="E16" s="42" t="n">
        <v>36000</v>
      </c>
      <c r="F16" s="17" t="n">
        <v>0</v>
      </c>
      <c r="G16" s="46" t="n">
        <v>0</v>
      </c>
    </row>
    <row r="17" outlineLevel="1">
      <c r="B17" s="39" t="inlineStr">
        <is>
          <t>Materiales de oficina (resmas, sobres, lapiceros)</t>
        </is>
      </c>
      <c r="C17" s="17" t="n">
        <v>2300</v>
      </c>
      <c r="D17" s="17" t="n">
        <v>2300</v>
      </c>
      <c r="E17" s="42" t="n">
        <v>2300</v>
      </c>
      <c r="F17" s="17" t="n">
        <v>0</v>
      </c>
      <c r="G17" s="46" t="n">
        <v>0</v>
      </c>
    </row>
    <row r="18" outlineLevel="1">
      <c r="B18" s="39" t="inlineStr">
        <is>
          <t>Cajas / entrega de palancas</t>
        </is>
      </c>
      <c r="C18" s="17" t="n">
        <v>3000</v>
      </c>
      <c r="D18" s="17" t="n">
        <v>2965</v>
      </c>
      <c r="E18" s="17" t="n">
        <v>0</v>
      </c>
      <c r="F18" s="17" t="n">
        <v>2965</v>
      </c>
      <c r="G18" s="40" t="n">
        <v>-35</v>
      </c>
    </row>
    <row r="19" outlineLevel="1">
      <c r="B19" s="39" t="inlineStr">
        <is>
          <t>Banderín</t>
        </is>
      </c>
      <c r="C19" s="17" t="n">
        <v>0</v>
      </c>
      <c r="D19" s="17" t="n">
        <v>0</v>
      </c>
      <c r="E19" s="17" t="n">
        <v>0</v>
      </c>
      <c r="F19" s="17" t="n">
        <v>0</v>
      </c>
      <c r="G19" s="46" t="n">
        <v>0</v>
      </c>
    </row>
    <row r="20" outlineLevel="1">
      <c r="B20" s="39" t="inlineStr">
        <is>
          <t>Decoración plenario / comedor</t>
        </is>
      </c>
      <c r="C20" s="17" t="n">
        <v>10300</v>
      </c>
      <c r="D20" s="17" t="n">
        <v>10300</v>
      </c>
      <c r="E20" s="42" t="n">
        <v>10300</v>
      </c>
      <c r="F20" s="17" t="n">
        <v>0</v>
      </c>
      <c r="G20" s="46" t="n">
        <v>0</v>
      </c>
    </row>
    <row r="21">
      <c r="A21" s="36" t="inlineStr">
        <is>
          <t>Litúrgico</t>
        </is>
      </c>
      <c r="B21" s="36" t="inlineStr">
        <is>
          <t>Litúrgico — subtotal</t>
        </is>
      </c>
      <c r="C21" s="37" t="n">
        <v>15000</v>
      </c>
      <c r="D21" s="37" t="n">
        <v>13000</v>
      </c>
      <c r="E21" s="37" t="n">
        <v>3000</v>
      </c>
      <c r="F21" s="37" t="n">
        <v>10000</v>
      </c>
      <c r="G21" s="44" t="n">
        <v>-2000</v>
      </c>
    </row>
    <row r="22" outlineLevel="1">
      <c r="B22" s="39" t="inlineStr">
        <is>
          <t>Ofrendas sacerdotes (confesiones)</t>
        </is>
      </c>
      <c r="C22" s="17" t="n">
        <v>12000</v>
      </c>
      <c r="D22" s="17" t="n">
        <v>10000</v>
      </c>
      <c r="E22" s="17" t="n">
        <v>0</v>
      </c>
      <c r="F22" s="17" t="n">
        <v>10000</v>
      </c>
      <c r="G22" s="40" t="n">
        <v>-2000</v>
      </c>
    </row>
    <row r="23" outlineLevel="1">
      <c r="B23" s="39" t="inlineStr">
        <is>
          <t>Insumos de misa (pan y vino)</t>
        </is>
      </c>
      <c r="C23" s="17" t="n">
        <v>3000</v>
      </c>
      <c r="D23" s="17" t="n">
        <v>3000</v>
      </c>
      <c r="E23" s="42" t="n">
        <v>3000</v>
      </c>
      <c r="F23" s="17" t="n">
        <v>0</v>
      </c>
      <c r="G23" s="46" t="n">
        <v>0</v>
      </c>
    </row>
    <row r="24">
      <c r="A24" s="36" t="inlineStr">
        <is>
          <t>Formación</t>
        </is>
      </c>
      <c r="B24" s="36" t="inlineStr">
        <is>
          <t>Formación — subtotal</t>
        </is>
      </c>
      <c r="C24" s="37" t="n">
        <v>28840</v>
      </c>
      <c r="D24" s="37" t="n">
        <v>33650</v>
      </c>
      <c r="E24" s="37" t="n">
        <v>0</v>
      </c>
      <c r="F24" s="37" t="n">
        <v>33650</v>
      </c>
      <c r="G24" s="38" t="n">
        <v>4810</v>
      </c>
    </row>
    <row r="25" outlineLevel="1">
      <c r="B25" s="39" t="inlineStr">
        <is>
          <t>Formaciones: local Sta. Clara (5 × 2,000)</t>
        </is>
      </c>
      <c r="C25" s="17" t="n">
        <v>10000</v>
      </c>
      <c r="D25" s="17" t="n">
        <v>10000</v>
      </c>
      <c r="E25" s="17" t="n">
        <v>0</v>
      </c>
      <c r="F25" s="17" t="n">
        <v>10000</v>
      </c>
      <c r="G25" s="46" t="n">
        <v>0</v>
      </c>
    </row>
    <row r="26" outlineLevel="1">
      <c r="B26" s="39" t="inlineStr">
        <is>
          <t>Formaciones: merienda F3</t>
        </is>
      </c>
      <c r="C26" s="41" t="n"/>
      <c r="D26" s="17" t="n">
        <v>2500</v>
      </c>
      <c r="E26" s="17" t="n">
        <v>0</v>
      </c>
      <c r="F26" s="17" t="n">
        <v>2500</v>
      </c>
      <c r="G26" s="43" t="inlineStr">
        <is>
          <t>no presupuestado</t>
        </is>
      </c>
    </row>
    <row r="27" outlineLevel="1">
      <c r="B27" s="39" t="inlineStr">
        <is>
          <t>Convivencia: merienda</t>
        </is>
      </c>
      <c r="C27" s="17" t="n">
        <v>4000</v>
      </c>
      <c r="D27" s="17" t="n">
        <v>3420</v>
      </c>
      <c r="E27" s="17" t="n">
        <v>0</v>
      </c>
      <c r="F27" s="17" t="n">
        <v>3420</v>
      </c>
      <c r="G27" s="40" t="n">
        <v>-580</v>
      </c>
    </row>
    <row r="28" outlineLevel="1">
      <c r="B28" s="39" t="inlineStr">
        <is>
          <t>Ensayo general: Sta. Clara, reunión extraordinaria</t>
        </is>
      </c>
      <c r="C28" s="41" t="n"/>
      <c r="D28" s="17" t="n">
        <v>3000</v>
      </c>
      <c r="E28" s="17" t="n">
        <v>0</v>
      </c>
      <c r="F28" s="17" t="n">
        <v>3000</v>
      </c>
      <c r="G28" s="43" t="inlineStr">
        <is>
          <t>no presupuestado</t>
        </is>
      </c>
    </row>
    <row r="29" outlineLevel="1">
      <c r="B29" s="39" t="inlineStr">
        <is>
          <t>Ensayo general: almuerzo 53 pers</t>
        </is>
      </c>
      <c r="C29" s="17" t="n">
        <v>14840</v>
      </c>
      <c r="D29" s="17" t="n">
        <v>14730</v>
      </c>
      <c r="E29" s="17" t="n">
        <v>0</v>
      </c>
      <c r="F29" s="17" t="n">
        <v>14730</v>
      </c>
      <c r="G29" s="40" t="n">
        <v>-110</v>
      </c>
    </row>
    <row r="30">
      <c r="A30" s="36" t="inlineStr">
        <is>
          <t>Equipo</t>
        </is>
      </c>
      <c r="B30" s="36" t="inlineStr">
        <is>
          <t>Equipo — subtotal</t>
        </is>
      </c>
      <c r="C30" s="37" t="n">
        <v>28800</v>
      </c>
      <c r="D30" s="37" t="n">
        <v>28800</v>
      </c>
      <c r="E30" s="37" t="n">
        <v>0</v>
      </c>
      <c r="F30" s="37" t="n">
        <v>28800</v>
      </c>
      <c r="G30" s="44" t="n">
        <v>0</v>
      </c>
    </row>
    <row r="31" outlineLevel="1">
      <c r="B31" s="39" t="inlineStr">
        <is>
          <t>Camisetas del equipo (60)</t>
        </is>
      </c>
      <c r="C31" s="17" t="n">
        <v>28800</v>
      </c>
      <c r="D31" s="17" t="n">
        <v>28800</v>
      </c>
      <c r="E31" s="17" t="n">
        <v>0</v>
      </c>
      <c r="F31" s="17" t="n">
        <v>28800</v>
      </c>
      <c r="G31" s="46" t="n">
        <v>0</v>
      </c>
    </row>
    <row r="32">
      <c r="A32" s="36" t="inlineStr">
        <is>
          <t>Guías</t>
        </is>
      </c>
      <c r="B32" s="36" t="inlineStr">
        <is>
          <t>Guías — subtotal</t>
        </is>
      </c>
      <c r="C32" s="37" t="n">
        <v>24157.86</v>
      </c>
      <c r="D32" s="37" t="n">
        <v>32670</v>
      </c>
      <c r="E32" s="37" t="n">
        <v>24950</v>
      </c>
      <c r="F32" s="37" t="n">
        <v>7720</v>
      </c>
      <c r="G32" s="38" t="n">
        <v>8512.139999999999</v>
      </c>
    </row>
    <row r="33" outlineLevel="1">
      <c r="B33" s="39" t="inlineStr">
        <is>
          <t>Materiales de guías (mochilas, rosarios, forros, libretas, lapiceros…)</t>
        </is>
      </c>
      <c r="C33" s="17" t="n">
        <v>24157.86</v>
      </c>
      <c r="D33" s="17" t="n">
        <v>32670</v>
      </c>
      <c r="E33" s="17" t="n">
        <v>24950</v>
      </c>
      <c r="F33" s="17" t="n">
        <v>7720</v>
      </c>
      <c r="G33" s="45" t="n">
        <v>8512.139999999999</v>
      </c>
    </row>
    <row r="34">
      <c r="A34" s="36" t="inlineStr">
        <is>
          <t>Música</t>
        </is>
      </c>
      <c r="B34" s="36" t="inlineStr">
        <is>
          <t>Música — subtotal</t>
        </is>
      </c>
      <c r="C34" s="37" t="n">
        <v>10511.86</v>
      </c>
      <c r="D34" s="37" t="n">
        <v>10262</v>
      </c>
      <c r="E34" s="37" t="n">
        <v>1262</v>
      </c>
      <c r="F34" s="37" t="n">
        <v>9000</v>
      </c>
      <c r="G34" s="44" t="n">
        <v>-249.8600000000006</v>
      </c>
    </row>
    <row r="35" outlineLevel="1">
      <c r="B35" s="39" t="inlineStr">
        <is>
          <t>Llaveros + insumos</t>
        </is>
      </c>
      <c r="C35" s="17" t="n">
        <v>10511.86</v>
      </c>
      <c r="D35" s="17" t="n">
        <v>10262</v>
      </c>
      <c r="E35" s="17" t="n">
        <v>1262</v>
      </c>
      <c r="F35" s="17" t="n">
        <v>9000</v>
      </c>
      <c r="G35" s="40" t="n">
        <v>-249.8600000000006</v>
      </c>
    </row>
    <row r="36">
      <c r="A36" s="36" t="inlineStr">
        <is>
          <t>Cocina</t>
        </is>
      </c>
      <c r="B36" s="36" t="inlineStr">
        <is>
          <t>Cocina — subtotal</t>
        </is>
      </c>
      <c r="C36" s="37" t="n">
        <v>120839.84</v>
      </c>
      <c r="D36" s="37" t="n">
        <v>110082</v>
      </c>
      <c r="E36" s="37" t="n">
        <v>14593</v>
      </c>
      <c r="F36" s="37" t="n">
        <v>95489</v>
      </c>
      <c r="G36" s="44" t="n">
        <v>-10757.84</v>
      </c>
    </row>
    <row r="37" outlineLevel="1">
      <c r="B37" s="39" t="inlineStr">
        <is>
          <t>Compra de comida (Iberia) + detalles y combustible</t>
        </is>
      </c>
      <c r="C37" s="17" t="n">
        <v>120839.84</v>
      </c>
      <c r="D37" s="17" t="n">
        <v>105082</v>
      </c>
      <c r="E37" s="17" t="n">
        <v>14593</v>
      </c>
      <c r="F37" s="17" t="n">
        <v>90489</v>
      </c>
      <c r="G37" s="40" t="n">
        <v>-15757.84</v>
      </c>
    </row>
    <row r="38" outlineLevel="1">
      <c r="B38" s="39" t="inlineStr">
        <is>
          <t>Efectivo entregado a cocina en la casa de retiro</t>
        </is>
      </c>
      <c r="C38" s="41" t="n"/>
      <c r="D38" s="17" t="n">
        <v>5000</v>
      </c>
      <c r="E38" s="17" t="n">
        <v>0</v>
      </c>
      <c r="F38" s="17" t="n">
        <v>5000</v>
      </c>
      <c r="G38" s="43" t="inlineStr">
        <is>
          <t>no presupuestado</t>
        </is>
      </c>
    </row>
    <row r="39">
      <c r="A39" s="36" t="inlineStr">
        <is>
          <t>Eventos</t>
        </is>
      </c>
      <c r="B39" s="36" t="inlineStr">
        <is>
          <t>Eventos — subtotal</t>
        </is>
      </c>
      <c r="C39" s="37" t="n">
        <v>1500</v>
      </c>
      <c r="D39" s="37" t="n">
        <v>7740</v>
      </c>
      <c r="E39" s="37" t="n">
        <v>0</v>
      </c>
      <c r="F39" s="37" t="n">
        <v>7740</v>
      </c>
      <c r="G39" s="38" t="n">
        <v>6240</v>
      </c>
    </row>
    <row r="40" outlineLevel="1">
      <c r="B40" s="39" t="inlineStr">
        <is>
          <t>Premio de la dinámica: helados (sustituyó al bizcocho de Cocina)</t>
        </is>
      </c>
      <c r="C40" s="17" t="n">
        <v>1500</v>
      </c>
      <c r="D40" s="17" t="n">
        <v>1740</v>
      </c>
      <c r="E40" s="17" t="n">
        <v>0</v>
      </c>
      <c r="F40" s="17" t="n">
        <v>1740</v>
      </c>
      <c r="G40" s="45" t="n">
        <v>240</v>
      </c>
    </row>
    <row r="41" outlineLevel="1">
      <c r="B41" s="39" t="inlineStr">
        <is>
          <t>Bizcocho de bienvenida post-ETC</t>
        </is>
      </c>
      <c r="C41" s="41" t="n"/>
      <c r="D41" s="17" t="n">
        <v>6000</v>
      </c>
      <c r="E41" s="17" t="n">
        <v>0</v>
      </c>
      <c r="F41" s="17" t="n">
        <v>6000</v>
      </c>
      <c r="G41" s="43" t="inlineStr">
        <is>
          <t>no presupuestado</t>
        </is>
      </c>
    </row>
    <row r="42">
      <c r="A42" s="47" t="n"/>
      <c r="B42" s="25" t="inlineStr">
        <is>
          <t>TOTALES</t>
        </is>
      </c>
      <c r="C42" s="26" t="n">
        <v>596249.5599999999</v>
      </c>
      <c r="D42" s="26" t="n">
        <v>617069</v>
      </c>
      <c r="E42" s="26" t="n">
        <v>101125</v>
      </c>
      <c r="F42" s="26" t="n">
        <v>515944</v>
      </c>
      <c r="G42" s="48" t="n">
        <v>20819.44000000006</v>
      </c>
    </row>
    <row r="44">
      <c r="B44" s="6" t="inlineStr">
        <is>
          <t>Costó 617,069 = pagado de caja 515,944 + cubierto sin pagar 101,125 · frente al presupuesto: +20,819.44 (+3.5%) · la caja frente al presupuesto: -80,305.56 (-13.5%)</t>
        </is>
      </c>
    </row>
    <row r="45">
      <c r="B45" s="6" t="inlineStr">
        <is>
          <t>Las filas por área están agrupadas: el botón «−» del margen izquierdo deja solo los subtotales. Las partidas que no existían en el presupuesto se marcan "no presupuestado".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6" customWidth="1" min="3" max="3"/>
  </cols>
  <sheetData>
    <row r="1">
      <c r="A1" s="33" t="inlineStr">
        <is>
          <t>CUÁNTO VALE EL RETIRO "AL COSTO" vs CUÁNTO NOS COSTÓ — y por qué</t>
        </is>
      </c>
    </row>
    <row r="2" ht="30" customHeight="1">
      <c r="A2" s="34" t="inlineStr">
        <is>
          <t>A es lo que salió de caja; B lo que vale el retiro sumando lo que no se pagó; C la diferencia; D todo dividido entre las 99 personas; E de dónde salió el dinero; F la casa desglosada.</t>
        </is>
      </c>
    </row>
    <row r="3">
      <c r="A3" s="21" t="inlineStr">
        <is>
          <t>A · LO QUE NOS COSTÓ (caja)</t>
        </is>
      </c>
    </row>
    <row r="4">
      <c r="A4" s="23" t="inlineStr">
        <is>
          <t>Salidas de caja (22 gastos)</t>
        </is>
      </c>
      <c r="B4" s="24" t="n">
        <v>515944</v>
      </c>
      <c r="C4" s="6" t="inlineStr">
        <is>
          <t>lo que efectivamente salió de las cuentas</t>
        </is>
      </c>
    </row>
    <row r="6">
      <c r="A6" s="7" t="inlineStr">
        <is>
          <t>B · LO QUE VALE EL RETIRO (costo total)</t>
        </is>
      </c>
    </row>
    <row r="7">
      <c r="A7" s="10" t="inlineStr">
        <is>
          <t>Salidas de caja</t>
        </is>
      </c>
      <c r="B7" s="11" t="n">
        <v>515944</v>
      </c>
      <c r="C7" s="6" t="inlineStr"/>
    </row>
    <row r="8">
      <c r="A8" s="10" t="inlineStr">
        <is>
          <t>+ Donaciones en especie (a precio de presupuesto)</t>
        </is>
      </c>
      <c r="B8" s="11" t="n">
        <v>92405</v>
      </c>
      <c r="C8" s="6" t="inlineStr">
        <is>
          <t>peces, decoración, guías, cocina, oficina, música, insumos de misa, lapiceros</t>
        </is>
      </c>
    </row>
    <row r="9">
      <c r="A9" s="10" t="inlineStr">
        <is>
          <t>+ Cortesía de la casa: 8 pers del jueves sin cobro</t>
        </is>
      </c>
      <c r="B9" s="11" t="n">
        <v>4000</v>
      </c>
      <c r="C9" s="6" t="inlineStr">
        <is>
          <t>8 × 500</t>
        </is>
      </c>
    </row>
    <row r="10">
      <c r="A10" s="10" t="inlineStr">
        <is>
          <t>+ Cortesía de la casa: 2 pers vie–dom sin cobro</t>
        </is>
      </c>
      <c r="B10" s="11" t="n">
        <v>4720</v>
      </c>
      <c r="C10" s="6" t="inlineStr">
        <is>
          <t>2 × 2,360 · el padre y la sor</t>
        </is>
      </c>
    </row>
    <row r="11">
      <c r="A11" s="25" t="inlineStr">
        <is>
          <t>TOTAL · LO QUE COSTÓ EL RETIRO</t>
        </is>
      </c>
      <c r="B11" s="26" t="n">
        <v>617069</v>
      </c>
    </row>
    <row r="12">
      <c r="A12" s="49" t="inlineStr">
        <is>
          <t xml:space="preserve">   + no incluido: los premios del profondo (19,900) son costo de recaudar, no del retiro, y ya están descontados del neto entregado · oficina a costo real (+3,006.11, solo informativo)</t>
        </is>
      </c>
    </row>
    <row r="14">
      <c r="A14" s="9" t="inlineStr">
        <is>
          <t>C · POR QUÉ NOS COSTÓ MENOS DE LO QUE VALE</t>
        </is>
      </c>
    </row>
    <row r="15">
      <c r="A15" s="10" t="inlineStr">
        <is>
          <t>Cubierto sin pagar (especie + cortesías)</t>
        </is>
      </c>
      <c r="B15" s="11" t="n">
        <v>101125</v>
      </c>
      <c r="C15" s="6" t="inlineStr">
        <is>
          <t>16.4% del costo · 30 donantes en especie + la casa</t>
        </is>
      </c>
    </row>
    <row r="17">
      <c r="A17" s="3" t="inlineStr">
        <is>
          <t>D · POR PERSONA (99 en la casa)</t>
        </is>
      </c>
    </row>
    <row r="18">
      <c r="A18" s="10" t="inlineStr">
        <is>
          <t>Costo de caja por persona</t>
        </is>
      </c>
      <c r="B18" s="11" t="n">
        <v>5211.555555555556</v>
      </c>
    </row>
    <row r="19">
      <c r="A19" s="10" t="inlineStr">
        <is>
          <t>Costo total por persona</t>
        </is>
      </c>
      <c r="B19" s="11" t="n">
        <v>6233.020202020202</v>
      </c>
    </row>
    <row r="20">
      <c r="A20" s="10" t="inlineStr">
        <is>
          <t>Cuota que pagó cada participante</t>
        </is>
      </c>
      <c r="B20" s="11" t="n">
        <v>3500</v>
      </c>
      <c r="C20" s="6" t="inlineStr">
        <is>
          <t>cubre el 67% de su costo de caja; el resto lo cubrieron donaciones y profondo</t>
        </is>
      </c>
    </row>
    <row r="21">
      <c r="A21" s="10" t="inlineStr">
        <is>
          <t>Participantes exonerados de cuota (2)</t>
        </is>
      </c>
      <c r="B21" s="11" t="n">
        <v>7000</v>
      </c>
      <c r="C21" s="6" t="inlineStr">
        <is>
          <t>Cristofer y Dahiony, invitados de la sor Angelina: exoneración prevista desde el inicio, no una cuota impagada</t>
        </is>
      </c>
    </row>
    <row r="22">
      <c r="A22" s="10" t="inlineStr">
        <is>
          <t>Cuota que pagó cada miembro del equipo</t>
        </is>
      </c>
      <c r="B22" s="11" t="n">
        <v>2000</v>
      </c>
      <c r="C22" s="6" t="inlineStr">
        <is>
          <t>49 miembros = 98,000</t>
        </is>
      </c>
    </row>
    <row r="23">
      <c r="A23" s="6" t="inlineStr">
        <is>
          <t xml:space="preserve">   99 en la casa = 48 participantes (46 con cuota + Cristofer y Dahiony exonerados, invitados de la sor) y 51 del equipo. Mary Carmen pagó su cuota y no asistió; entre los 46 con cuota no hay ninguno registrado como ausente (ver hoja 5).</t>
        </is>
      </c>
    </row>
    <row r="25">
      <c r="A25" s="3" t="inlineStr">
        <is>
          <t>E · CÓMO SE FINANCIÓ LA CAJA</t>
        </is>
      </c>
    </row>
    <row r="26">
      <c r="A26" s="10" t="inlineStr">
        <is>
          <t>Pagos de participantes</t>
        </is>
      </c>
      <c r="B26" s="11" t="n">
        <v>156800</v>
      </c>
      <c r="C26" s="6" t="inlineStr">
        <is>
          <t>28.4% de las entradas</t>
        </is>
      </c>
    </row>
    <row r="27">
      <c r="A27" s="10" t="inlineStr">
        <is>
          <t>Donaciones en efectivo</t>
        </is>
      </c>
      <c r="B27" s="11" t="n">
        <v>155021</v>
      </c>
      <c r="C27" s="6" t="inlineStr">
        <is>
          <t>28.1% de las entradas</t>
        </is>
      </c>
    </row>
    <row r="28">
      <c r="A28" s="10" t="inlineStr">
        <is>
          <t>Profondo (rifa + venta de comida y helados), neto</t>
        </is>
      </c>
      <c r="B28" s="11" t="n">
        <v>135866.4</v>
      </c>
      <c r="C28" s="6" t="inlineStr">
        <is>
          <t>24.6% de las entradas</t>
        </is>
      </c>
    </row>
    <row r="29">
      <c r="A29" s="10" t="inlineStr">
        <is>
          <t>Cuotas del equipo</t>
        </is>
      </c>
      <c r="B29" s="11" t="n">
        <v>98000</v>
      </c>
      <c r="C29" s="6" t="inlineStr">
        <is>
          <t>17.7% de las entradas</t>
        </is>
      </c>
    </row>
    <row r="30">
      <c r="A30" s="10" t="inlineStr">
        <is>
          <t>Tardanzas</t>
        </is>
      </c>
      <c r="B30" s="11" t="n">
        <v>6800</v>
      </c>
      <c r="C30" s="6" t="inlineStr">
        <is>
          <t>1.2% de las entradas</t>
        </is>
      </c>
    </row>
    <row r="31">
      <c r="A31" s="50" t="inlineStr">
        <is>
          <t>Total de entradas</t>
        </is>
      </c>
      <c r="B31" s="51" t="n">
        <v>552487.4</v>
      </c>
    </row>
    <row r="32">
      <c r="A32" s="10" t="inlineStr">
        <is>
          <t>− Salidas</t>
        </is>
      </c>
      <c r="B32" s="11" t="n">
        <v>-515944</v>
      </c>
    </row>
    <row r="33">
      <c r="A33" s="19" t="inlineStr">
        <is>
          <t>Superávit</t>
        </is>
      </c>
      <c r="B33" s="20" t="n">
        <v>36543.40000000002</v>
      </c>
      <c r="C33" s="6" t="inlineStr">
        <is>
          <t>6.6% de las entradas · real en cuentas 34,337</t>
        </is>
      </c>
    </row>
    <row r="35">
      <c r="A35" s="3" t="inlineStr">
        <is>
          <t>F · LA CASA, AL DETALLE</t>
        </is>
      </c>
    </row>
    <row r="36">
      <c r="A36" s="10" t="inlineStr">
        <is>
          <t>Hospedaje base 97 pers × 2,360 (vie–dom)</t>
        </is>
      </c>
      <c r="B36" s="52" t="n">
        <v>228920</v>
      </c>
      <c r="C36" s="6" t="inlineStr">
        <is>
          <t>fuimos 99; la casa facturó 97 y dio 2 de cortesía: el padre y la sor (la del director, cedida a la sor)</t>
        </is>
      </c>
    </row>
    <row r="37">
      <c r="A37" s="10" t="inlineStr">
        <is>
          <t>Noche del jueves: 19 pers × 500</t>
        </is>
      </c>
      <c r="B37" s="52" t="n">
        <v>9500</v>
      </c>
      <c r="C37" s="6" t="inlineStr">
        <is>
          <t>llegamos jueves (avanzada). 27 personas: 19 pagaron, 8 sin cobro</t>
        </is>
      </c>
    </row>
    <row r="38">
      <c r="A38" s="10" t="inlineStr">
        <is>
          <t>Habitaciones para pequeños grupos, 2 noches</t>
        </is>
      </c>
      <c r="B38" s="52" t="n">
        <v>1800</v>
      </c>
      <c r="C38" s="6" t="inlineStr">
        <is>
          <t>tarifa inferida 900/noche</t>
        </is>
      </c>
    </row>
    <row r="39">
      <c r="A39" s="8" t="inlineStr">
        <is>
          <t>Total pagado a la casa</t>
        </is>
      </c>
      <c r="B39" s="53" t="n">
        <v>240220</v>
      </c>
      <c r="C39" s="6" t="inlineStr">
        <is>
          <t>avance 23,600 (repuesto al Consejo) + final 216,620</t>
        </is>
      </c>
    </row>
    <row r="40">
      <c r="A40" s="10" t="inlineStr">
        <is>
          <t>Cortesía no cobrada: jueves (8 × 500)</t>
        </is>
      </c>
      <c r="B40" s="52" t="n">
        <v>4000</v>
      </c>
      <c r="C40" s="6" t="inlineStr">
        <is>
          <t>valor recibido</t>
        </is>
      </c>
    </row>
    <row r="41">
      <c r="A41" s="10" t="inlineStr">
        <is>
          <t>Cortesía no cobrada: 2 pers vie–dom (2 × 2,360)</t>
        </is>
      </c>
      <c r="B41" s="52" t="n">
        <v>4720</v>
      </c>
      <c r="C41" s="6" t="inlineStr">
        <is>
          <t>valor recibido · el padre y la sor</t>
        </is>
      </c>
    </row>
    <row r="42">
      <c r="A42" s="10" t="inlineStr">
        <is>
          <t>Comida de avanzada del jueves (ppto Sistem 3,900)</t>
        </is>
      </c>
      <c r="B42" s="52" t="n">
        <v>0</v>
      </c>
      <c r="C42" s="6" t="inlineStr">
        <is>
          <t>sin gasto propio: absorbida en Iberia / detalles de cocina</t>
        </is>
      </c>
    </row>
    <row r="43">
      <c r="A43" s="10" t="inlineStr">
        <is>
          <t>vs presupuesto oficial 11-Ago (236,000)</t>
        </is>
      </c>
      <c r="B43" s="52" t="n">
        <v>4220</v>
      </c>
      <c r="C43" s="6" t="inlineStr">
        <is>
          <t>el jueves y las habitaciones</t>
        </is>
      </c>
    </row>
    <row r="44">
      <c r="A44" s="10" t="inlineStr">
        <is>
          <t>vs presupuesto Sistem (200,000)</t>
        </is>
      </c>
      <c r="B44" s="52" t="n">
        <v>40220</v>
      </c>
      <c r="C44" s="6" t="inlineStr">
        <is>
          <t>el Sistem nunca actualizó la tarifa de 2,360 ni contempló el jueves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 fitToPage="1"/>
  </sheetPr>
  <dimension ref="A1: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6" customWidth="1" min="2" max="2"/>
    <col width="16" customWidth="1" min="3" max="3"/>
    <col width="16" customWidth="1" min="4" max="4"/>
    <col width="14" customWidth="1" min="5" max="5"/>
    <col width="22" customWidth="1" min="6" max="6"/>
    <col width="62" customWidth="1" min="7" max="7"/>
  </cols>
  <sheetData>
    <row r="1">
      <c r="A1" s="54" t="inlineStr">
        <is>
          <t>BASE PARA PRESUPUESTAR EL ETC 89 — el número real del ETC 88, partida por partida</t>
        </is>
      </c>
    </row>
    <row r="2" ht="30" customHeight="1">
      <c r="A2" s="34" t="inlineStr">
        <is>
          <t>Costo real 88 = pagado de caja + cubierto sin pagar. Por persona = entre 99. Tipo es una propuesta de cómo presupuestar cada partida en el ETC 89: "por persona" se multiplica por asistentes, "fijo" se cotiza, "puntual" se decide, "no presupuestar" fue cortesía. Abajo, las recomendaciones.</t>
        </is>
      </c>
    </row>
    <row r="3">
      <c r="A3" s="55" t="inlineStr">
        <is>
          <t>Área</t>
        </is>
      </c>
      <c r="B3" s="55" t="inlineStr">
        <is>
          <t>Partida</t>
        </is>
      </c>
      <c r="C3" s="55" t="inlineStr">
        <is>
          <t>Ppto oficial 88</t>
        </is>
      </c>
      <c r="D3" s="55" t="inlineStr">
        <is>
          <t>Costo real 88</t>
        </is>
      </c>
      <c r="E3" s="55" t="inlineStr">
        <is>
          <t>Por persona (99)</t>
        </is>
      </c>
      <c r="F3" s="55" t="inlineStr">
        <is>
          <t>Tipo [PROPUESTA]</t>
        </is>
      </c>
      <c r="G3" s="55" t="inlineStr">
        <is>
          <t>Cómo presupuestarlo</t>
        </is>
      </c>
    </row>
    <row r="4">
      <c r="A4" s="56" t="inlineStr">
        <is>
          <t>Casa</t>
        </is>
      </c>
      <c r="B4" s="39" t="inlineStr">
        <is>
          <t>Hospedaje base: 97 pers × 2,360 (vie–dom)</t>
        </is>
      </c>
      <c r="C4" s="17" t="n">
        <v>236000</v>
      </c>
      <c r="D4" s="57" t="n">
        <v>228920</v>
      </c>
      <c r="E4" s="17" t="n">
        <v>2312.323232323232</v>
      </c>
      <c r="F4" s="58" t="inlineStr">
        <is>
          <t>por persona</t>
        </is>
      </c>
      <c r="G4" s="18" t="inlineStr">
        <is>
          <t>2,360 × persona (vie–dom). Presupuestar sobre el número real de asistentes</t>
        </is>
      </c>
    </row>
    <row r="5">
      <c r="A5" s="56" t="inlineStr">
        <is>
          <t>Casa</t>
        </is>
      </c>
      <c r="B5" s="39" t="inlineStr">
        <is>
          <t>Cortesía de la casa: 2 pers vie–dom sin cobro (el padre y la sor)</t>
        </is>
      </c>
      <c r="C5" s="41" t="n"/>
      <c r="D5" s="57" t="n">
        <v>4720</v>
      </c>
      <c r="E5" s="17" t="n">
        <v>47.67676767676767</v>
      </c>
      <c r="F5" s="59" t="inlineStr">
        <is>
          <t>no presupuestar</t>
        </is>
      </c>
      <c r="G5" s="18" t="inlineStr">
        <is>
          <t>cortesía; negociar de nuevo</t>
        </is>
      </c>
    </row>
    <row r="6">
      <c r="A6" s="56" t="inlineStr">
        <is>
          <t>Casa</t>
        </is>
      </c>
      <c r="B6" s="39" t="inlineStr">
        <is>
          <t>Noche del jueves (avanzada): 19 pers × 500</t>
        </is>
      </c>
      <c r="C6" s="41" t="n"/>
      <c r="D6" s="57" t="n">
        <v>9500</v>
      </c>
      <c r="E6" s="17" t="n">
        <v>95.95959595959596</v>
      </c>
      <c r="F6" s="58" t="inlineStr">
        <is>
          <t>por persona (avanzada)</t>
        </is>
      </c>
      <c r="G6" s="18" t="inlineStr">
        <is>
          <t>500 × persona × noche si se repite la llegada del jueves</t>
        </is>
      </c>
    </row>
    <row r="7">
      <c r="A7" s="56" t="inlineStr">
        <is>
          <t>Casa</t>
        </is>
      </c>
      <c r="B7" s="39" t="inlineStr">
        <is>
          <t>Cortesía de la casa: 8 pers del jueves sin cobro</t>
        </is>
      </c>
      <c r="C7" s="41" t="n"/>
      <c r="D7" s="57" t="n">
        <v>4000</v>
      </c>
      <c r="E7" s="17" t="n">
        <v>40.4040404040404</v>
      </c>
      <c r="F7" s="59" t="inlineStr">
        <is>
          <t>no presupuestar</t>
        </is>
      </c>
      <c r="G7" s="18" t="inlineStr">
        <is>
          <t>cortesía; negociar de nuevo</t>
        </is>
      </c>
    </row>
    <row r="8">
      <c r="A8" s="56" t="inlineStr">
        <is>
          <t>Casa</t>
        </is>
      </c>
      <c r="B8" s="39" t="inlineStr">
        <is>
          <t>Habitaciones para pequeños grupos (2 noches)</t>
        </is>
      </c>
      <c r="C8" s="41" t="n"/>
      <c r="D8" s="57" t="n">
        <v>1800</v>
      </c>
      <c r="E8" s="17" t="n">
        <v>18.18181818181818</v>
      </c>
      <c r="F8" s="58" t="inlineStr">
        <is>
          <t>fijo</t>
        </is>
      </c>
      <c r="G8" s="18" t="inlineStr">
        <is>
          <t>900 × noche × habitación (tarifa inferida)</t>
        </is>
      </c>
    </row>
    <row r="9">
      <c r="A9" s="56" t="inlineStr">
        <is>
          <t>Casa</t>
        </is>
      </c>
      <c r="B9" s="39" t="inlineStr">
        <is>
          <t>Comida de avanzada del jueves (comunidad/cena)</t>
        </is>
      </c>
      <c r="C9" s="41" t="n"/>
      <c r="D9" s="57" t="n">
        <v>0</v>
      </c>
      <c r="E9" s="17" t="n">
        <v>0</v>
      </c>
      <c r="F9" s="58" t="inlineStr">
        <is>
          <t>incluido en cocina</t>
        </is>
      </c>
      <c r="G9" s="18" t="inlineStr">
        <is>
          <t>no abrir partida aparte</t>
        </is>
      </c>
    </row>
    <row r="10">
      <c r="A10" s="56" t="inlineStr">
        <is>
          <t>Transporte</t>
        </is>
      </c>
      <c r="B10" s="39" t="inlineStr">
        <is>
          <t>Autobuses ida/vuelta</t>
        </is>
      </c>
      <c r="C10" s="17" t="n">
        <v>45000</v>
      </c>
      <c r="D10" s="57" t="n">
        <v>35000</v>
      </c>
      <c r="E10" s="17" t="n">
        <v>353.5353535353535</v>
      </c>
      <c r="F10" s="58" t="inlineStr">
        <is>
          <t>fijo</t>
        </is>
      </c>
      <c r="G10" s="18" t="inlineStr">
        <is>
          <t>cotizar; en el 88 cubrió equipo + participantes</t>
        </is>
      </c>
    </row>
    <row r="11">
      <c r="A11" s="56" t="inlineStr">
        <is>
          <t>Transporte</t>
        </is>
      </c>
      <c r="B11" s="39" t="inlineStr">
        <is>
          <t>Desvío del transporte</t>
        </is>
      </c>
      <c r="C11" s="41" t="n"/>
      <c r="D11" s="57" t="n">
        <v>10000</v>
      </c>
      <c r="E11" s="17" t="n">
        <v>101.010101010101</v>
      </c>
      <c r="F11" s="59" t="inlineStr">
        <is>
          <t>puntual</t>
        </is>
      </c>
      <c r="G11" s="18" t="inlineStr">
        <is>
          <t>no repetir: planificar la ruta</t>
        </is>
      </c>
    </row>
    <row r="12">
      <c r="A12" s="56" t="inlineStr">
        <is>
          <t>Materiales</t>
        </is>
      </c>
      <c r="B12" s="39" t="inlineStr">
        <is>
          <t>Biblias (52 × 680)</t>
        </is>
      </c>
      <c r="C12" s="17" t="n">
        <v>34000</v>
      </c>
      <c r="D12" s="57" t="n">
        <v>35360</v>
      </c>
      <c r="E12" s="17" t="n">
        <v>357.1717171717171</v>
      </c>
      <c r="F12" s="58" t="inlineStr">
        <is>
          <t>por participante</t>
        </is>
      </c>
      <c r="G12" s="18" t="inlineStr">
        <is>
          <t>680 × participante (Paulinas)</t>
        </is>
      </c>
    </row>
    <row r="13">
      <c r="A13" s="56" t="inlineStr">
        <is>
          <t>Materiales</t>
        </is>
      </c>
      <c r="B13" s="39" t="inlineStr">
        <is>
          <t>Peces ICTUS (60)</t>
        </is>
      </c>
      <c r="C13" s="17" t="n">
        <v>36000</v>
      </c>
      <c r="D13" s="57" t="n">
        <v>36000</v>
      </c>
      <c r="E13" s="17" t="n">
        <v>363.6363636363636</v>
      </c>
      <c r="F13" s="58" t="inlineStr">
        <is>
          <t>por persona</t>
        </is>
      </c>
      <c r="G13" s="18" t="inlineStr">
        <is>
          <t>600 × persona si no se consigue donación</t>
        </is>
      </c>
    </row>
    <row r="14">
      <c r="A14" s="56" t="inlineStr">
        <is>
          <t>Materiales</t>
        </is>
      </c>
      <c r="B14" s="39" t="inlineStr">
        <is>
          <t>Materiales de oficina (resmas, sobres, lapiceros)</t>
        </is>
      </c>
      <c r="C14" s="17" t="n">
        <v>2300</v>
      </c>
      <c r="D14" s="57" t="n">
        <v>2300</v>
      </c>
      <c r="E14" s="17" t="n">
        <v>23.23232323232323</v>
      </c>
      <c r="F14" s="58" t="inlineStr">
        <is>
          <t>fijo</t>
        </is>
      </c>
      <c r="G14" s="18" t="inlineStr">
        <is>
          <t>costo real 5,306 (no 2,300): presupuestar sobre el real</t>
        </is>
      </c>
    </row>
    <row r="15">
      <c r="A15" s="56" t="inlineStr">
        <is>
          <t>Materiales</t>
        </is>
      </c>
      <c r="B15" s="39" t="inlineStr">
        <is>
          <t>Cajas / entrega de palancas</t>
        </is>
      </c>
      <c r="C15" s="17" t="n">
        <v>3000</v>
      </c>
      <c r="D15" s="57" t="n">
        <v>2965</v>
      </c>
      <c r="E15" s="17" t="n">
        <v>29.94949494949495</v>
      </c>
      <c r="F15" s="58" t="inlineStr">
        <is>
          <t>fijo</t>
        </is>
      </c>
      <c r="G15" s="18" t="inlineStr"/>
    </row>
    <row r="16">
      <c r="A16" s="56" t="inlineStr">
        <is>
          <t>Materiales</t>
        </is>
      </c>
      <c r="B16" s="39" t="inlineStr">
        <is>
          <t>Banderín</t>
        </is>
      </c>
      <c r="C16" s="17" t="n">
        <v>0</v>
      </c>
      <c r="D16" s="57" t="n">
        <v>0</v>
      </c>
      <c r="E16" s="17" t="n">
        <v>0</v>
      </c>
      <c r="F16" s="58" t="inlineStr">
        <is>
          <t>fijo</t>
        </is>
      </c>
      <c r="G16" s="18" t="inlineStr">
        <is>
          <t>cotizar si no hay donación</t>
        </is>
      </c>
    </row>
    <row r="17">
      <c r="A17" s="56" t="inlineStr">
        <is>
          <t>Materiales</t>
        </is>
      </c>
      <c r="B17" s="39" t="inlineStr">
        <is>
          <t>Decoración plenario / comedor</t>
        </is>
      </c>
      <c r="C17" s="17" t="n">
        <v>10300</v>
      </c>
      <c r="D17" s="57" t="n">
        <v>10300</v>
      </c>
      <c r="E17" s="17" t="n">
        <v>104.040404040404</v>
      </c>
      <c r="F17" s="58" t="inlineStr">
        <is>
          <t>fijo</t>
        </is>
      </c>
      <c r="G17" s="18" t="inlineStr">
        <is>
          <t>10,300 si no hay donación</t>
        </is>
      </c>
    </row>
    <row r="18">
      <c r="A18" s="56" t="inlineStr">
        <is>
          <t>Litúrgico</t>
        </is>
      </c>
      <c r="B18" s="39" t="inlineStr">
        <is>
          <t>Ofrendas sacerdotes (confesiones)</t>
        </is>
      </c>
      <c r="C18" s="17" t="n">
        <v>12000</v>
      </c>
      <c r="D18" s="57" t="n">
        <v>10000</v>
      </c>
      <c r="E18" s="17" t="n">
        <v>101.010101010101</v>
      </c>
      <c r="F18" s="58" t="inlineStr">
        <is>
          <t>fijo</t>
        </is>
      </c>
      <c r="G18" s="18" t="inlineStr">
        <is>
          <t>3,000 × sacerdote; en el 88 fue 1 ofrenda</t>
        </is>
      </c>
    </row>
    <row r="19">
      <c r="A19" s="56" t="inlineStr">
        <is>
          <t>Litúrgico</t>
        </is>
      </c>
      <c r="B19" s="39" t="inlineStr">
        <is>
          <t>Insumos de misa (pan y vino)</t>
        </is>
      </c>
      <c r="C19" s="17" t="n">
        <v>3000</v>
      </c>
      <c r="D19" s="57" t="n">
        <v>3000</v>
      </c>
      <c r="E19" s="17" t="n">
        <v>30.3030303030303</v>
      </c>
      <c r="F19" s="58" t="inlineStr">
        <is>
          <t>fijo</t>
        </is>
      </c>
      <c r="G19" s="18" t="inlineStr"/>
    </row>
    <row r="20">
      <c r="A20" s="56" t="inlineStr">
        <is>
          <t>Formación</t>
        </is>
      </c>
      <c r="B20" s="39" t="inlineStr">
        <is>
          <t>Formaciones: local Sta. Clara (5 × 2,000)</t>
        </is>
      </c>
      <c r="C20" s="17" t="n">
        <v>10000</v>
      </c>
      <c r="D20" s="57" t="n">
        <v>10000</v>
      </c>
      <c r="E20" s="17" t="n">
        <v>101.010101010101</v>
      </c>
      <c r="F20" s="58" t="inlineStr">
        <is>
          <t>fijo</t>
        </is>
      </c>
      <c r="G20" s="18" t="inlineStr">
        <is>
          <t>2,000 × reunión ordinaria (5)</t>
        </is>
      </c>
    </row>
    <row r="21">
      <c r="A21" s="56" t="inlineStr">
        <is>
          <t>Formación</t>
        </is>
      </c>
      <c r="B21" s="39" t="inlineStr">
        <is>
          <t>Formaciones: merienda F3</t>
        </is>
      </c>
      <c r="C21" s="41" t="n"/>
      <c r="D21" s="57" t="n">
        <v>2500</v>
      </c>
      <c r="E21" s="17" t="n">
        <v>25.25252525252525</v>
      </c>
      <c r="F21" s="58" t="inlineStr">
        <is>
          <t>fijo</t>
        </is>
      </c>
      <c r="G21" s="18" t="inlineStr">
        <is>
          <t>una merienda por formación si se repite</t>
        </is>
      </c>
    </row>
    <row r="22">
      <c r="A22" s="56" t="inlineStr">
        <is>
          <t>Formación</t>
        </is>
      </c>
      <c r="B22" s="39" t="inlineStr">
        <is>
          <t>Convivencia: merienda</t>
        </is>
      </c>
      <c r="C22" s="17" t="n">
        <v>4000</v>
      </c>
      <c r="D22" s="57" t="n">
        <v>3420</v>
      </c>
      <c r="E22" s="17" t="n">
        <v>34.54545454545455</v>
      </c>
      <c r="F22" s="58" t="inlineStr">
        <is>
          <t>fijo</t>
        </is>
      </c>
      <c r="G22" s="18" t="inlineStr"/>
    </row>
    <row r="23">
      <c r="A23" s="56" t="inlineStr">
        <is>
          <t>Formación</t>
        </is>
      </c>
      <c r="B23" s="39" t="inlineStr">
        <is>
          <t>Ensayo general: Sta. Clara, reunión extraordinaria</t>
        </is>
      </c>
      <c r="C23" s="41" t="n"/>
      <c r="D23" s="57" t="n">
        <v>3000</v>
      </c>
      <c r="E23" s="17" t="n">
        <v>30.3030303030303</v>
      </c>
      <c r="F23" s="58" t="inlineStr">
        <is>
          <t>fijo</t>
        </is>
      </c>
      <c r="G23" s="18" t="inlineStr">
        <is>
          <t>3,000 la reunión extraordinaria</t>
        </is>
      </c>
    </row>
    <row r="24">
      <c r="A24" s="56" t="inlineStr">
        <is>
          <t>Formación</t>
        </is>
      </c>
      <c r="B24" s="39" t="inlineStr">
        <is>
          <t>Ensayo general: almuerzo 53 pers</t>
        </is>
      </c>
      <c r="C24" s="17" t="n">
        <v>14840</v>
      </c>
      <c r="D24" s="57" t="n">
        <v>14730</v>
      </c>
      <c r="E24" s="17" t="n">
        <v>148.7878787878788</v>
      </c>
      <c r="F24" s="58" t="inlineStr">
        <is>
          <t>por miembro del equipo</t>
        </is>
      </c>
      <c r="G24" s="18" t="inlineStr">
        <is>
          <t>280 × miembro</t>
        </is>
      </c>
    </row>
    <row r="25">
      <c r="A25" s="56" t="inlineStr">
        <is>
          <t>Equipo</t>
        </is>
      </c>
      <c r="B25" s="39" t="inlineStr">
        <is>
          <t>Camisetas del equipo (60)</t>
        </is>
      </c>
      <c r="C25" s="17" t="n">
        <v>28800</v>
      </c>
      <c r="D25" s="57" t="n">
        <v>28800</v>
      </c>
      <c r="E25" s="17" t="n">
        <v>290.9090909090909</v>
      </c>
      <c r="F25" s="58" t="inlineStr">
        <is>
          <t>por miembro del equipo</t>
        </is>
      </c>
      <c r="G25" s="18" t="inlineStr">
        <is>
          <t>480 × miembro</t>
        </is>
      </c>
    </row>
    <row r="26">
      <c r="A26" s="56" t="inlineStr">
        <is>
          <t>Guías</t>
        </is>
      </c>
      <c r="B26" s="39" t="inlineStr">
        <is>
          <t>Materiales de guías (mochilas, rosarios, forros, libretas, lapiceros…)</t>
        </is>
      </c>
      <c r="C26" s="17" t="n">
        <v>24157.86</v>
      </c>
      <c r="D26" s="57" t="n">
        <v>32670</v>
      </c>
      <c r="E26" s="17" t="n">
        <v>330</v>
      </c>
      <c r="F26" s="58" t="inlineStr">
        <is>
          <t>por participante</t>
        </is>
      </c>
      <c r="G26" s="18" t="inlineStr">
        <is>
          <t>la mayor parte fue donada; presupuestar el costo completo</t>
        </is>
      </c>
    </row>
    <row r="27">
      <c r="A27" s="56" t="inlineStr">
        <is>
          <t>Música</t>
        </is>
      </c>
      <c r="B27" s="39" t="inlineStr">
        <is>
          <t>Llaveros + insumos</t>
        </is>
      </c>
      <c r="C27" s="17" t="n">
        <v>10511.86</v>
      </c>
      <c r="D27" s="57" t="n">
        <v>10262</v>
      </c>
      <c r="E27" s="17" t="n">
        <v>103.6565656565657</v>
      </c>
      <c r="F27" s="58" t="inlineStr">
        <is>
          <t>fijo</t>
        </is>
      </c>
      <c r="G27" s="18" t="inlineStr"/>
    </row>
    <row r="28">
      <c r="A28" s="56" t="inlineStr">
        <is>
          <t>Cocina</t>
        </is>
      </c>
      <c r="B28" s="39" t="inlineStr">
        <is>
          <t>Compra de comida (Iberia) + detalles y combustible</t>
        </is>
      </c>
      <c r="C28" s="17" t="n">
        <v>120839.84</v>
      </c>
      <c r="D28" s="57" t="n">
        <v>105082</v>
      </c>
      <c r="E28" s="17" t="n">
        <v>1061.434343434343</v>
      </c>
      <c r="F28" s="58" t="inlineStr">
        <is>
          <t>por persona</t>
        </is>
      </c>
      <c r="G28" s="18" t="inlineStr">
        <is>
          <t>1,061 × persona (comida + detalles + combustible, con lo donado)</t>
        </is>
      </c>
    </row>
    <row r="29">
      <c r="A29" s="56" t="inlineStr">
        <is>
          <t>Cocina</t>
        </is>
      </c>
      <c r="B29" s="39" t="inlineStr">
        <is>
          <t>Efectivo entregado a cocina en la casa de retiro</t>
        </is>
      </c>
      <c r="C29" s="41" t="n"/>
      <c r="D29" s="57" t="n">
        <v>5000</v>
      </c>
      <c r="E29" s="17" t="n">
        <v>50.50505050505051</v>
      </c>
      <c r="F29" s="58" t="inlineStr">
        <is>
          <t>fijo</t>
        </is>
      </c>
      <c r="G29" s="18" t="inlineStr">
        <is>
          <t>efectivo de cocina en la casa; liquidar con recibos</t>
        </is>
      </c>
    </row>
    <row r="30">
      <c r="A30" s="56" t="inlineStr">
        <is>
          <t>Eventos</t>
        </is>
      </c>
      <c r="B30" s="39" t="inlineStr">
        <is>
          <t>Premio de la dinámica: helados (sustituyó al bizcocho de Cocina)</t>
        </is>
      </c>
      <c r="C30" s="17" t="n">
        <v>1500</v>
      </c>
      <c r="D30" s="57" t="n">
        <v>1740</v>
      </c>
      <c r="E30" s="17" t="n">
        <v>17.57575757575757</v>
      </c>
      <c r="F30" s="58" t="inlineStr">
        <is>
          <t>fijo</t>
        </is>
      </c>
      <c r="G30" s="18" t="inlineStr"/>
    </row>
    <row r="31">
      <c r="A31" s="56" t="inlineStr">
        <is>
          <t>Eventos</t>
        </is>
      </c>
      <c r="B31" s="39" t="inlineStr">
        <is>
          <t>Bizcocho de bienvenida post-ETC</t>
        </is>
      </c>
      <c r="C31" s="41" t="n"/>
      <c r="D31" s="57" t="n">
        <v>6000</v>
      </c>
      <c r="E31" s="17" t="n">
        <v>60.60606060606061</v>
      </c>
      <c r="F31" s="59" t="inlineStr">
        <is>
          <t>puntual</t>
        </is>
      </c>
      <c r="G31" s="18" t="inlineStr">
        <is>
          <t>decidir si se repite</t>
        </is>
      </c>
    </row>
    <row r="32">
      <c r="A32" s="60" t="n"/>
      <c r="B32" s="19" t="inlineStr">
        <is>
          <t>COSTO REAL ETC 88</t>
        </is>
      </c>
      <c r="C32" s="20" t="n">
        <v>596249.5599999999</v>
      </c>
      <c r="D32" s="20" t="n">
        <v>617069</v>
      </c>
      <c r="E32" s="20" t="n">
        <v>6233.020202020202</v>
      </c>
      <c r="F32" s="60" t="n"/>
      <c r="G32" s="60" t="n"/>
    </row>
    <row r="33">
      <c r="B33" s="10" t="inlineStr">
        <is>
          <t>− puntuales (desvío del transporte, bizcocho de bienvenida)</t>
        </is>
      </c>
      <c r="D33" s="11" t="n">
        <v>-16000</v>
      </c>
    </row>
    <row r="34">
      <c r="A34" s="61" t="n"/>
      <c r="B34" s="62" t="inlineStr">
        <is>
          <t>Base recurrente (lo que un retiro igual cuesta, con todo lo donado valorado)</t>
        </is>
      </c>
      <c r="C34" s="61" t="n"/>
      <c r="D34" s="63" t="n">
        <v>601069</v>
      </c>
      <c r="E34" s="63" t="n">
        <v>6071.404040404041</v>
      </c>
      <c r="F34" s="61" t="n"/>
      <c r="G34" s="61" t="n"/>
    </row>
    <row r="36">
      <c r="A36" s="3" t="inlineStr">
        <is>
          <t>CÓMO SE FINANCIÓ EL 88 (base para el plan de recaudación del 89)</t>
        </is>
      </c>
    </row>
    <row r="37">
      <c r="B37" s="10" t="inlineStr">
        <is>
          <t>Pagos de participantes</t>
        </is>
      </c>
      <c r="D37" s="11" t="n">
        <v>156800</v>
      </c>
      <c r="G37" s="6" t="inlineStr">
        <is>
          <t>28.4% de las entradas</t>
        </is>
      </c>
    </row>
    <row r="38">
      <c r="B38" s="10" t="inlineStr">
        <is>
          <t>Donaciones en efectivo</t>
        </is>
      </c>
      <c r="D38" s="11" t="n">
        <v>155021</v>
      </c>
      <c r="G38" s="6" t="inlineStr">
        <is>
          <t>28.1% de las entradas</t>
        </is>
      </c>
    </row>
    <row r="39">
      <c r="B39" s="10" t="inlineStr">
        <is>
          <t>Profondo (rifa + venta de comida y helados), neto</t>
        </is>
      </c>
      <c r="D39" s="11" t="n">
        <v>135866.4</v>
      </c>
      <c r="G39" s="6" t="inlineStr">
        <is>
          <t>24.6% de las entradas</t>
        </is>
      </c>
    </row>
    <row r="40">
      <c r="B40" s="10" t="inlineStr">
        <is>
          <t>Cuotas del equipo</t>
        </is>
      </c>
      <c r="D40" s="11" t="n">
        <v>98000</v>
      </c>
      <c r="G40" s="6" t="inlineStr">
        <is>
          <t>17.7% de las entradas</t>
        </is>
      </c>
    </row>
    <row r="41">
      <c r="B41" s="10" t="inlineStr">
        <is>
          <t>Tardanzas</t>
        </is>
      </c>
      <c r="D41" s="11" t="n">
        <v>6800</v>
      </c>
      <c r="G41" s="6" t="inlineStr">
        <is>
          <t>1.2% de las entradas</t>
        </is>
      </c>
    </row>
    <row r="42">
      <c r="B42" s="50" t="inlineStr">
        <is>
          <t>Entradas totales</t>
        </is>
      </c>
      <c r="D42" s="51" t="n">
        <v>552487.4</v>
      </c>
    </row>
    <row r="43">
      <c r="B43" s="10" t="inlineStr">
        <is>
          <t>Cubierto sin pagar (especie + cortesías; no pasó por caja)</t>
        </is>
      </c>
      <c r="D43" s="11" t="n">
        <v>101125</v>
      </c>
    </row>
    <row r="45">
      <c r="A45" s="7" t="inlineStr">
        <is>
          <t>RECOMENDACIONES PARA EL ETC 89 [PROPUESTA]</t>
        </is>
      </c>
    </row>
    <row r="46">
      <c r="A46" s="64" t="n"/>
      <c r="B46" s="65" t="inlineStr">
        <is>
          <t>Cerrar el presupuesto temprano</t>
        </is>
      </c>
      <c r="C46" s="64" t="n"/>
      <c r="D46" s="64" t="n"/>
      <c r="E46" s="64" t="n"/>
      <c r="F46" s="64" t="n"/>
      <c r="G46" s="64" t="n"/>
    </row>
    <row r="47" ht="28" customHeight="1">
      <c r="B47" s="66" t="inlineStr">
        <is>
          <t>• Fecha de cierre fija: 90 días antes del retiro, con la tarifa real de la casa firmada y tres cotizaciones para transporte y comida.</t>
        </is>
      </c>
    </row>
    <row r="48" ht="28" customHeight="1">
      <c r="B48" s="66" t="inlineStr">
        <is>
          <t>• Después del cierre, una partida solo cambia con el visto bueno de los dos directores y queda anotado el motivo.</t>
        </is>
      </c>
    </row>
    <row r="49" ht="28" customHeight="1">
      <c r="B49" s="66" t="inlineStr">
        <is>
          <t>• Base de arranque: el costo real del 88 por partida (esta hoja), no un estimado nuevo.</t>
        </is>
      </c>
    </row>
    <row r="51">
      <c r="A51" s="64" t="n"/>
      <c r="B51" s="65" t="inlineStr">
        <is>
          <t>Ponerle tope</t>
        </is>
      </c>
      <c r="C51" s="64" t="n"/>
      <c r="D51" s="64" t="n"/>
      <c r="E51" s="64" t="n"/>
      <c r="F51" s="64" t="n"/>
      <c r="G51" s="64" t="n"/>
    </row>
    <row r="52" ht="28" customHeight="1">
      <c r="B52" s="66" t="inlineStr">
        <is>
          <t>• Techo por área = costo real del 88 × asistentes previstos; el total del 88 fue 617,069 para 99 personas (6,233 por persona).</t>
        </is>
      </c>
    </row>
    <row r="53" ht="28" customHeight="1">
      <c r="B53" s="66" t="inlineStr">
        <is>
          <t>• Reserva de imprevistos explícita (3% del presupuesto) con responsable; se liquida con recibos en una semana y lo que no se usa vuelve a caja.</t>
        </is>
      </c>
    </row>
    <row r="54" ht="28" customHeight="1">
      <c r="B54" s="66" t="inlineStr">
        <is>
          <t>• Nada se gasta fuera de partida sin mover otra partida: el tope total no se mueve.</t>
        </is>
      </c>
    </row>
    <row r="56">
      <c r="A56" s="64" t="n"/>
      <c r="B56" s="65" t="inlineStr">
        <is>
          <t>Cuándo hacer el profondo</t>
        </is>
      </c>
      <c r="C56" s="64" t="n"/>
      <c r="D56" s="64" t="n"/>
      <c r="E56" s="64" t="n"/>
      <c r="F56" s="64" t="n"/>
      <c r="G56" s="64" t="n"/>
    </row>
    <row r="57" ht="28" customHeight="1">
      <c r="B57" s="66" t="inlineStr">
        <is>
          <t>• Lanzarlo el mismo día que se cierra el presupuesto (90 días antes), cuando ya se sabe cuánto falta por cubrir.</t>
        </is>
      </c>
    </row>
    <row r="58" ht="28" customHeight="1">
      <c r="B58" s="66" t="inlineStr">
        <is>
          <t>• Vender durante las formaciones: cada formación es un punto de cobro y de entrega de boletas; el efectivo se deposita esa misma semana y se anota en el tablero.</t>
        </is>
      </c>
    </row>
    <row r="59" ht="28" customHeight="1">
      <c r="B59" s="66" t="inlineStr">
        <is>
          <t>• Sorteo en la convivencia (unas dos semanas antes del retiro), para que el dinero esté en cuenta antes de los pagos grandes de la casa y la comida. En el 88 las entregas se hicieron entre el 17 y el 25 de agosto y funcionó.</t>
        </is>
      </c>
    </row>
    <row r="60" ht="28" customHeight="1">
      <c r="B60" s="66" t="inlineStr">
        <is>
          <t>• Boletas pagadas al recibirlas, sin crédito: en el 88 quedaron 73.5 sin pagar (14,700). Corte de cobro una semana antes del sorteo; el premio se compra cuando ya está cubierto con lo vendido.</t>
        </is>
      </c>
    </row>
    <row r="61" ht="28" customHeight="1">
      <c r="B61" s="66" t="inlineStr">
        <is>
          <t>• La venta de comida y helados como actividad paralela desde la primera formación: en el 88 aportó 18,320 más las ventas posteriores.</t>
        </is>
      </c>
    </row>
    <row r="63">
      <c r="A63" s="64" t="n"/>
      <c r="B63" s="65" t="inlineStr">
        <is>
          <t>Cómo organizar las donaciones en especie</t>
        </is>
      </c>
      <c r="C63" s="64" t="n"/>
      <c r="D63" s="64" t="n"/>
      <c r="E63" s="64" t="n"/>
      <c r="F63" s="64" t="n"/>
      <c r="G63" s="64" t="n"/>
    </row>
    <row r="64" ht="28" customHeight="1">
      <c r="B64" s="66" t="inlineStr">
        <is>
          <t>• Lista de necesidades publicada al cerrar el presupuesto: partida, cantidad y valor de referencia (el precio del presupuesto). En el 88 lo prioritario eran peces, biblias, camisetas, decoración y materiales de guías.</t>
        </is>
      </c>
    </row>
    <row r="65" ht="28" customHeight="1">
      <c r="B65" s="66" t="inlineStr">
        <is>
          <t>• Una sola persona de tesorería lleva el registro de especie: quién dona, qué, cuánto, valor de referencia y fecha; se anota al recibirla y se marca la partida como cubierta en el tablero.</t>
        </is>
      </c>
    </row>
    <row r="66" ht="28" customHeight="1">
      <c r="B66" s="66" t="inlineStr">
        <is>
          <t>• Corte de compromisos 45 días antes del retiro; lo que no esté cubierto se compra a 30 días. Así no se duplica (comprar lo que luego alguien dona) ni falta.</t>
        </is>
      </c>
    </row>
    <row r="67" ht="28" customHeight="1">
      <c r="B67" s="66" t="inlineStr">
        <is>
          <t>• Recibo o carta de agradecimiento a cada donante (existe el modelo de carta de donación) y lista pública de lo cubierto en cada formación.</t>
        </is>
      </c>
    </row>
    <row r="68" ht="28" customHeight="1">
      <c r="B68" s="66" t="inlineStr">
        <is>
          <t>• En el 88 se recibieron 92,405 en especie de unos 30 donantes, pero la hoja de presupuesto solo tenía marcados 30,301: el registro al momento de recibir evita rehacer el cuadro al final.</t>
        </is>
      </c>
    </row>
    <row r="70">
      <c r="A70" s="64" t="n"/>
      <c r="B70" s="65" t="inlineStr">
        <is>
          <t>Logística económica</t>
        </is>
      </c>
      <c r="C70" s="64" t="n"/>
      <c r="D70" s="64" t="n"/>
      <c r="E70" s="64" t="n"/>
      <c r="F70" s="64" t="n"/>
      <c r="G70" s="64" t="n"/>
    </row>
    <row r="71" ht="28" customHeight="1">
      <c r="B71" s="66" t="inlineStr">
        <is>
          <t>• Una sola caja desde el primer día: cuenta + tablero; ninguna entrada o salida por fuera.</t>
        </is>
      </c>
    </row>
    <row r="72" ht="28" customHeight="1">
      <c r="B72" s="66" t="inlineStr">
        <is>
          <t>• Categorías del tablero iguales a las partidas del presupuesto, para que el cruce salga solo.</t>
        </is>
      </c>
    </row>
    <row r="73" ht="28" customHeight="1">
      <c r="B73" s="66" t="inlineStr">
        <is>
          <t>• Cada efectivo entregado se liquida en 7 días con recibos; una línea por concepto, sin pagos agrupados.</t>
        </is>
      </c>
    </row>
    <row r="74" ht="28" customHeight="1">
      <c r="B74" s="66" t="inlineStr">
        <is>
          <t>• Tesorería con los cuatro roles que ya funcionaron en el 88: recibir, registrar, conciliar y manejar la plataforma; conciliación tablero–banco de 15 minutos cada mes.</t>
        </is>
      </c>
    </row>
    <row r="75" ht="28" customHeight="1">
      <c r="B75" s="66" t="inlineStr">
        <is>
          <t>• Cuotas fijas desde el inicio (participante 3,500, equipo 2,000) y meta de recaudación = costo previsto − cuotas, repartida por fuente con fechas.</t>
        </is>
      </c>
    </row>
    <row r="76" ht="28" customHeight="1">
      <c r="B76" s="66" t="inlineStr">
        <is>
          <t>• Acordar las exoneraciones al fijar la cuota y restarlas de la meta de recaudación desde el inicio: en el 88 fueron 2 invitados de la sor (7,000), previstos pero no reflejados en el presupuesto.</t>
        </is>
      </c>
    </row>
    <row r="77" ht="28" customHeight="1">
      <c r="B77" s="66" t="inlineStr">
        <is>
          <t>• Cierre económico a los 10 días del retiro, con esta misma estructura.</t>
        </is>
      </c>
    </row>
  </sheetData>
  <mergeCells count="25">
    <mergeCell ref="B60:G60"/>
    <mergeCell ref="B67:G67"/>
    <mergeCell ref="B61:G61"/>
    <mergeCell ref="B57:G57"/>
    <mergeCell ref="B73:G73"/>
    <mergeCell ref="B53:G53"/>
    <mergeCell ref="B49:G49"/>
    <mergeCell ref="B65:G65"/>
    <mergeCell ref="B74:G74"/>
    <mergeCell ref="B68:G68"/>
    <mergeCell ref="B64:G64"/>
    <mergeCell ref="A1:G1"/>
    <mergeCell ref="B76:G76"/>
    <mergeCell ref="B75:G75"/>
    <mergeCell ref="B72:G72"/>
    <mergeCell ref="B47:G47"/>
    <mergeCell ref="B54:G54"/>
    <mergeCell ref="B59:G59"/>
    <mergeCell ref="B66:G66"/>
    <mergeCell ref="B71:G71"/>
    <mergeCell ref="A2:G2"/>
    <mergeCell ref="B58:G58"/>
    <mergeCell ref="B52:G52"/>
    <mergeCell ref="B48:G48"/>
    <mergeCell ref="B77:G7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  <col width="60" customWidth="1" min="4" max="4"/>
  </cols>
  <sheetData>
    <row r="1">
      <c r="A1" s="67" t="inlineStr">
        <is>
          <t>PENDIENTES Y NOTAS PARA EL CONSEJO — estado al 11-sep · 0 abiertos</t>
        </is>
      </c>
    </row>
    <row r="2" ht="30" customHeight="1">
      <c r="A2" s="34" t="inlineStr">
        <is>
          <t>ABIERTO = falta un dato o una decisión; NOTA = aclaración que conviene dejar por escrito; CERRADO = resuelto; INFO = contexto. La columna Qué falta dice exactamente qué cerrar.</t>
        </is>
      </c>
    </row>
    <row r="3">
      <c r="A3" s="68" t="inlineStr">
        <is>
          <t>Estado</t>
        </is>
      </c>
      <c r="B3" s="68" t="inlineStr">
        <is>
          <t>Tema</t>
        </is>
      </c>
      <c r="C3" s="68" t="inlineStr">
        <is>
          <t>Detalle</t>
        </is>
      </c>
      <c r="D3" s="68" t="inlineStr">
        <is>
          <t>Qué falta</t>
        </is>
      </c>
    </row>
    <row r="4">
      <c r="A4" s="69" t="inlineStr">
        <is>
          <t>CERRADO</t>
        </is>
      </c>
      <c r="B4" s="70" t="inlineStr">
        <is>
          <t>Efectivo de imprevistos 15,000 y salón de formaciones</t>
        </is>
      </c>
      <c r="C4" s="39" t="inlineStr">
        <is>
          <t>Del efectivo de 15,000 (07/09) se dieron 5,000 a cocina en la casa de retiro y 10,000 fueron el reembolso a Juan Manuel de las 5 formaciones en Santa Clara (5 × 2,000, pagadas el 07-jun en efectivo a Franklin Pozo con su aporte personal). El efectivo queda liquidado completo y el salón pagado con dinero del grupo. Confirmado 11-sep.</t>
        </is>
      </c>
      <c r="D4" s="18" t="inlineStr"/>
    </row>
    <row r="5">
      <c r="A5" s="69" t="inlineStr">
        <is>
          <t>CERRADO</t>
        </is>
      </c>
      <c r="B5" s="70" t="inlineStr">
        <is>
          <t>Participantes: 48 en el retiro, 46 con cuota</t>
        </is>
      </c>
      <c r="C5" s="39" t="inlineStr">
        <is>
          <t>Al retiro fueron 48 participantes: 46 con cuota y 2 exonerados de antemano, Cristofer y Dahiony, invitados de la sor Angelina. La exoneración estaba prevista desde el inicio, por eso el cierre cuenta 46 cuotas y no 48. Los 161,000 son la referencia teórica de esos 46 × 3,500, no una meta de cobro: cuatro pagaron menos de 3,500 (Karen Berroa 2,500, Melany Ceverino 3,300, Karen 1,000 y una de las siete 3,000). Por eso lo recibido es 156,800. NO hay pagos de participantes pendientes. Confirmado 11-sep.</t>
        </is>
      </c>
      <c r="D5" s="18" t="inlineStr"/>
    </row>
    <row r="6">
      <c r="A6" s="69" t="inlineStr">
        <is>
          <t>CERRADO</t>
        </is>
      </c>
      <c r="B6" s="70" t="inlineStr">
        <is>
          <t>Profondo: boletas no pagadas 14,700</t>
        </is>
      </c>
      <c r="C6" s="39" t="inlineStr">
        <is>
          <t>73.5 boletas colocadas × 200 = 14,700 quedaron sin pagar. No se cobrarán (decisión de la dirección, 11-sep).</t>
        </is>
      </c>
      <c r="D6" s="18" t="inlineStr"/>
    </row>
    <row r="7">
      <c r="A7" s="59" t="inlineStr">
        <is>
          <t>NOTA</t>
        </is>
      </c>
      <c r="B7" s="70" t="inlineStr">
        <is>
          <t>Una donación sin identificar (1,000)</t>
        </is>
      </c>
      <c r="C7" s="39" t="inlineStr">
        <is>
          <t>Barrido de las cuatro que estaban marcadas: Wilfrid (1,000) llegó sin identificar y se ubicó, es gestión de Ivanna; Johan o Joan (3,500) también se ubicó, confirmado por el director; Yendry Rincón (1,000) está identificada y solo faltó la captura del comprobante. Queda una sola sin dueño: el depósito de 1,000 del 10/09, que es una donación real que entró a la cuenta y cuyo autor nunca se pudo ubicar.</t>
        </is>
      </c>
      <c r="D7" s="18" t="inlineStr">
        <is>
          <t>Dejar constancia en el acta de ese depósito de 1,000 y de que la donación de Yendry Rincón no tiene captura.</t>
        </is>
      </c>
    </row>
    <row r="8">
      <c r="A8" s="69" t="inlineStr">
        <is>
          <t>CERRADO</t>
        </is>
      </c>
      <c r="B8" s="70" t="inlineStr">
        <is>
          <t>Impuestos bancarios y copias</t>
        </is>
      </c>
      <c r="C8" s="39" t="inlineStr">
        <is>
          <t>Balance 36,543.40 − real en cuentas 34,337 = 2,206.40 = impuesto bancario por transacción (2,136.86, 0.20% sobre los 1,068,431.40 que se movieron) + copias pagadas (69.54).</t>
        </is>
      </c>
      <c r="D8" s="18" t="inlineStr">
        <is>
          <t>Las líneas del estado de cuenta que lo documentan.</t>
        </is>
      </c>
    </row>
    <row r="9">
      <c r="A9" s="69" t="inlineStr">
        <is>
          <t>CERRADO</t>
        </is>
      </c>
      <c r="B9" s="70" t="inlineStr">
        <is>
          <t>Cuotas del equipo: quiénes no pagaron</t>
        </is>
      </c>
      <c r="C9" s="39" t="inlineStr">
        <is>
          <t>No pagaron cuota el padre Paul, la sor Angelina, Petra y Johanny (los cuatro asesores). Cristopher Jiménez, de cocina, sí pagó: es una persona distinta de Cristofer el participante. 56 del equipo − 3 guías de reserva − 4 asesores = 49 miembros × 2,000 = 98,000, que es lo recibido.</t>
        </is>
      </c>
      <c r="D9" s="18" t="inlineStr"/>
    </row>
    <row r="10">
      <c r="A10" s="59" t="inlineStr">
        <is>
          <t>NOTA</t>
        </is>
      </c>
      <c r="B10" s="70" t="inlineStr">
        <is>
          <t>Biblias: las 2 de Camila</t>
        </is>
      </c>
      <c r="C10" s="39" t="inlineStr">
        <is>
          <t>Se pidieron 52 biblias y el grupo pagó las 52: el reembolso a JM del 19/08 es 35,360 = 52 × 680 exactos. El presupuesto solo contemplaba 50 (34,000) porque 2 las pagaría Camila Fernández; esas 2 quedaron dentro de lo que pagó el grupo. En las 49 donaciones en efectivo no hay ningún aporte suyo ni ningún movimiento de 1,360, y en la especie solo figura por los separadores de libros (750).</t>
        </is>
      </c>
      <c r="D10" s="18" t="inlineStr">
        <is>
          <t>Confirmar con Camila y con Juan Manuel: si ella puso 1,360 de su bolsillo, o se le reembolsa, o se registra como donación en especie (el costo del retiro subiría a 618,429 y la especie a 93,765). La caja y el cuadre con el banco no cambian en ningún caso.</t>
        </is>
      </c>
    </row>
    <row r="11">
      <c r="A11" s="69" t="inlineStr">
        <is>
          <t>CERRADO</t>
        </is>
      </c>
      <c r="B11" s="70" t="inlineStr">
        <is>
          <t>Impresión de libretas 1,260</t>
        </is>
      </c>
      <c r="C11" s="39" t="inlineStr">
        <is>
          <t>El presupuesto operativo la marcaba "donado por guías" en la columna equivocada, por eso no sumaba. Sumada a la especie por confirmación del director (11-sep).</t>
        </is>
      </c>
      <c r="D11" s="18" t="inlineStr"/>
    </row>
    <row r="12">
      <c r="A12" s="69" t="inlineStr">
        <is>
          <t>CERRADO</t>
        </is>
      </c>
      <c r="B12" s="70" t="inlineStr">
        <is>
          <t>Uso de los 34,337 en cuentas</t>
        </is>
      </c>
      <c r="C12" s="39" t="inlineStr">
        <is>
          <t>La dirección lo expondrá en la actividad de cierre (evaluación) del ETC 88 para decidirlo con el equipo (11-sep).</t>
        </is>
      </c>
      <c r="D12" s="18" t="inlineStr"/>
    </row>
    <row r="13">
      <c r="A13" s="69" t="inlineStr">
        <is>
          <t>CERRADO</t>
        </is>
      </c>
      <c r="B13" s="70" t="inlineStr">
        <is>
          <t>Profondo: liquidación de la comisión</t>
        </is>
      </c>
      <c r="C13" s="39" t="inlineStr">
        <is>
          <t>Bruto 154,420: 680.5 boletas pagadas × 200 = 136,100 + venta de comida y helados 18,320. Premios 19,900 (aire acondicionado 16,900 + abanico de torre 3,000). Neto del informe 134,520; entregado a finanzas 135,866.40: los 1,346.40 adicionales son ventas de helados posteriores al informe (director).</t>
        </is>
      </c>
      <c r="D13" s="18" t="inlineStr"/>
    </row>
    <row r="14">
      <c r="A14" s="69" t="inlineStr">
        <is>
          <t>CERRADO</t>
        </is>
      </c>
      <c r="B14" s="70" t="inlineStr">
        <is>
          <t>Pagaron y no fueron</t>
        </is>
      </c>
      <c r="C14" s="39" t="inlineStr">
        <is>
          <t>Verificado nombre por nombre contra la lista de pagos del director (10-sep, 57 líneas), el registro de cuotas y las 49 donaciones. Equipo: Mary Carmen Ramírez pagó y no asistió; sus 2,000 están dentro de los 98,000. Participantes: los 46 que pagaron están todos identificados con nombre y ninguno figura como ausente. Boris pagó, no fue, se le devolvió una parte y el neto de 1,500 entró como donación a nombre de Jonathan Medina (31/08): su dinero NO está en los 156,800. De Amanda Rivera no hay ningún pago en ninguna fuente; solo aparece en el formulario de junio como invitada de Pamela Colón y Roselyn Quiroz. Los únicos abonos de 500 de la lista son de Melany Ceverino y Erilis Polanco, ambas personas que sí asistieron.</t>
        </is>
      </c>
      <c r="D14" s="18" t="inlineStr"/>
    </row>
    <row r="15">
      <c r="A15" s="69" t="inlineStr">
        <is>
          <t>CERRADO</t>
        </is>
      </c>
      <c r="B15" s="70" t="inlineStr">
        <is>
          <t>Presupuesto oficial</t>
        </is>
      </c>
      <c r="C15" s="39" t="inlineStr">
        <is>
          <t>Declarado OFICIAL el de 11-Ago (596,249.56, costo completo, tarifa real de la casa). El Sistem (512,859.56) es la referencia operativa del tablero.</t>
        </is>
      </c>
      <c r="D15" s="18" t="inlineStr"/>
    </row>
    <row r="16">
      <c r="A16" s="69" t="inlineStr">
        <is>
          <t>CERRADO</t>
        </is>
      </c>
      <c r="B16" s="70" t="inlineStr">
        <is>
          <t>Pago a JM 37,500</t>
        </is>
      </c>
      <c r="C16" s="39" t="inlineStr">
        <is>
          <t>Desglosado en la hoja de Gastos: transporte 2ª mitad 17,500 (10,000 + 7,500) + desvío 10,000 + ofrenda P. Héctor 10,000.</t>
        </is>
      </c>
      <c r="D16" s="18" t="inlineStr">
        <is>
          <t>Registrar el desglose en el tablero.</t>
        </is>
      </c>
    </row>
    <row r="17">
      <c r="A17" s="69" t="inlineStr">
        <is>
          <t>CERRADO</t>
        </is>
      </c>
      <c r="B17" s="70" t="inlineStr">
        <is>
          <t>Casa</t>
        </is>
      </c>
      <c r="C17" s="39" t="inlineStr">
        <is>
          <t>Fuimos 99, facturadas 97. Cortesías: el padre y la sor (la del director cedida a la sor). Jueves: 27 personas, 19 pagaron 500, 8 sin cobro. Habitaciones de pequeños grupos: 900 × 2 noches. Total 240,220 = avance 23,600 + final 216,620.</t>
        </is>
      </c>
      <c r="D17" s="18" t="inlineStr"/>
    </row>
    <row r="18">
      <c r="A18" s="69" t="inlineStr">
        <is>
          <t>CERRADO</t>
        </is>
      </c>
      <c r="B18" s="70" t="inlineStr">
        <is>
          <t>Bizcocho y helados</t>
        </is>
      </c>
      <c r="C18" s="39" t="inlineStr">
        <is>
          <t>Bizcocho de bienvenida 6,000 (10/09, no presupuestado). El bizcocho de la dinámica (ppto Cocina 1,500) se cambió por helados: 1,740 (07/09). La venta de helados del profondo es ingreso, no costo.</t>
        </is>
      </c>
      <c r="D18" s="18" t="inlineStr"/>
    </row>
    <row r="19">
      <c r="A19" s="69" t="inlineStr">
        <is>
          <t>CERRADO</t>
        </is>
      </c>
      <c r="B19" s="70" t="inlineStr">
        <is>
          <t>Lapiceros e insumos de misa</t>
        </is>
      </c>
      <c r="C19" s="39" t="inlineStr">
        <is>
          <t>Caja de lapiceros (650) donada; insumos de misa (3,000) asumidos por Jonathan Medina y Fernando Cordero. Ambos en la especie.</t>
        </is>
      </c>
      <c r="D19" s="18" t="inlineStr"/>
    </row>
    <row r="20">
      <c r="A20" s="69" t="inlineStr">
        <is>
          <t>CERRADO</t>
        </is>
      </c>
      <c r="B20" s="70" t="inlineStr">
        <is>
          <t>Impresiones de guías</t>
        </is>
      </c>
      <c r="C20" s="39" t="inlineStr">
        <is>
          <t>Mochilas (3,600, pagadas) e "impresiones diversas" (3,600, donadas por Darianny) son trabajos distintos. No hay doble conteo.</t>
        </is>
      </c>
      <c r="D20" s="18" t="inlineStr"/>
    </row>
    <row r="21">
      <c r="A21" s="69" t="inlineStr">
        <is>
          <t>CERRADO</t>
        </is>
      </c>
      <c r="B21" s="70" t="inlineStr">
        <is>
          <t>Priscila</t>
        </is>
      </c>
      <c r="C21" s="39" t="inlineStr">
        <is>
          <t>Donó materiales (7,340) y recibió 2,000 en efectivo (21/07). Donación neta 5,340; la especie ya lo descuenta.</t>
        </is>
      </c>
      <c r="D21" s="18" t="inlineStr"/>
    </row>
    <row r="22">
      <c r="A22" s="69" t="inlineStr">
        <is>
          <t>CERRADO</t>
        </is>
      </c>
      <c r="B22" s="70" t="inlineStr">
        <is>
          <t>Balance 117,611 de la hoja General</t>
        </is>
      </c>
      <c r="C22" s="39" t="inlineStr">
        <is>
          <t>Cifra escrita a mano hacia el 11-ago, antes del retiro. No es un segundo balance. El oficial es 36,543.40 → real 34,337.</t>
        </is>
      </c>
      <c r="D22" s="18" t="inlineStr">
        <is>
          <t>Borrar o anotar esa cifra en la hoja de presupuesto.</t>
        </is>
      </c>
    </row>
    <row r="23">
      <c r="A23" s="71" t="inlineStr">
        <is>
          <t>INFO</t>
        </is>
      </c>
      <c r="B23" s="70" t="inlineStr">
        <is>
          <t>Especie</t>
        </is>
      </c>
      <c r="C23" s="39" t="inlineStr">
        <is>
          <t>Total 92,405: la hoja de presupuesto solo tenía marcados 30,301 (marcas sin actualizar). Peces (36,000), decoración (10,300), Bono Olé (4,588), insumos de misa (3,000), oficina, lapiceros y cocina no estaban marcados.</t>
        </is>
      </c>
      <c r="D23" s="18" t="inlineStr"/>
    </row>
    <row r="24">
      <c r="A24" s="71" t="inlineStr">
        <is>
          <t>INFO</t>
        </is>
      </c>
      <c r="B24" s="70" t="inlineStr">
        <is>
          <t>Oficina</t>
        </is>
      </c>
      <c r="C24" s="39" t="inlineStr">
        <is>
          <t>Costo real 5,306.11 asumido por los directores; en la especie se valora a ppto (2,300) por instrucción del director. Solo informativo.</t>
        </is>
      </c>
      <c r="D24" s="18" t="inlineStr"/>
    </row>
    <row r="25">
      <c r="A25" s="71" t="inlineStr">
        <is>
          <t>INFO</t>
        </is>
      </c>
      <c r="B25" s="70" t="inlineStr">
        <is>
          <t>Presupuestos "Tentativo"</t>
        </is>
      </c>
      <c r="C25" s="39" t="inlineStr">
        <is>
          <t>Ambos quedaron marcados "Tentativo — sujeto a ajustes" (2/7/2026). Lección ETC 89: cerrar el presupuesto formalmente antes del retiro y marcar las donaciones en especie al recibirlas.</t>
        </is>
      </c>
      <c r="D25" s="18" t="inlineStr"/>
    </row>
    <row r="26">
      <c r="A26" s="71" t="inlineStr">
        <is>
          <t>INFO</t>
        </is>
      </c>
      <c r="B26" s="70" t="inlineStr">
        <is>
          <t>Tablero público</t>
        </is>
      </c>
      <c r="C26" s="39" t="inlineStr">
        <is>
          <t>Vista pública: corregido el ancho de las tarjetas y añadida la tarjeta de Profondo (corrección entregada). Falta publicarla.</t>
        </is>
      </c>
      <c r="D26" s="18" t="inlineStr">
        <is>
          <t>Publicar la corrección en el tablero.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33" t="inlineStr">
        <is>
          <t>PRESUPUESTO OFICIAL (11-Ago) vs SISTEM (tablero) — por área</t>
        </is>
      </c>
    </row>
    <row r="2" ht="30" customHeight="1">
      <c r="A2" s="34" t="inlineStr">
        <is>
          <t>Los dos presupuestos por área. El oficial (11-Ago) se compara contra lo que costó; el Sistem es el que alimenta el tablero de finanzas. Cubierto = lo que de esa área se recibió sin pagar.</t>
        </is>
      </c>
    </row>
    <row r="3">
      <c r="A3" s="35" t="inlineStr">
        <is>
          <t>Área</t>
        </is>
      </c>
      <c r="B3" s="35" t="inlineStr">
        <is>
          <t>11-Ago (OFICIAL)</t>
        </is>
      </c>
      <c r="C3" s="35" t="inlineStr">
        <is>
          <t>Sistem (tablero)</t>
        </is>
      </c>
      <c r="D3" s="35" t="inlineStr">
        <is>
          <t>Cubierto sin pagar</t>
        </is>
      </c>
    </row>
    <row r="4">
      <c r="A4" s="10" t="inlineStr">
        <is>
          <t>Directores</t>
        </is>
      </c>
      <c r="B4" s="11" t="n">
        <v>428940</v>
      </c>
      <c r="C4" s="11" t="n">
        <v>362205</v>
      </c>
      <c r="D4" s="11" t="n">
        <v>41300</v>
      </c>
    </row>
    <row r="5">
      <c r="A5" s="10" t="inlineStr">
        <is>
          <t>Cocina</t>
        </is>
      </c>
      <c r="B5" s="11" t="n">
        <v>132639.84</v>
      </c>
      <c r="C5" s="11" t="n">
        <v>112384.84</v>
      </c>
      <c r="D5" s="11" t="n">
        <v>24893</v>
      </c>
    </row>
    <row r="6">
      <c r="A6" s="10" t="inlineStr">
        <is>
          <t>Guías</t>
        </is>
      </c>
      <c r="B6" s="11" t="n">
        <v>24157.86</v>
      </c>
      <c r="C6" s="11" t="n">
        <v>27757.86</v>
      </c>
      <c r="D6" s="11" t="n">
        <v>24950</v>
      </c>
    </row>
    <row r="7">
      <c r="A7" s="10" t="inlineStr">
        <is>
          <t>Música</t>
        </is>
      </c>
      <c r="B7" s="11" t="n">
        <v>10511.86</v>
      </c>
      <c r="C7" s="11" t="n">
        <v>10511.86</v>
      </c>
      <c r="D7" s="11" t="n">
        <v>1262</v>
      </c>
    </row>
    <row r="8">
      <c r="A8" s="25" t="inlineStr">
        <is>
          <t>TOTAL</t>
        </is>
      </c>
      <c r="B8" s="26" t="n">
        <v>596249.5599999999</v>
      </c>
      <c r="C8" s="26" t="n">
        <v>512859.5599999999</v>
      </c>
      <c r="D8" s="26" t="n">
        <v>92405</v>
      </c>
    </row>
    <row r="10">
      <c r="A10" s="8" t="inlineStr">
        <is>
          <t>Salidas de caja</t>
        </is>
      </c>
      <c r="B10" s="11" t="n">
        <v>515944</v>
      </c>
      <c r="C10" s="11" t="n">
        <v>515944</v>
      </c>
    </row>
    <row r="11">
      <c r="A11" s="10" t="inlineStr">
        <is>
          <t>Caja vs presupuesto</t>
        </is>
      </c>
      <c r="B11" s="11" t="n">
        <v>-80305.55999999994</v>
      </c>
      <c r="C11" s="11" t="n">
        <v>3084.440000000061</v>
      </c>
    </row>
    <row r="12">
      <c r="A12" s="8" t="inlineStr">
        <is>
          <t>Lo que costó</t>
        </is>
      </c>
      <c r="B12" s="11" t="n">
        <v>617069</v>
      </c>
      <c r="C12" s="11" t="n">
        <v>617069</v>
      </c>
    </row>
    <row r="13">
      <c r="A13" s="10" t="inlineStr">
        <is>
          <t>Costó vs presupuesto</t>
        </is>
      </c>
      <c r="B13" s="11" t="n">
        <v>20819.44000000006</v>
      </c>
      <c r="C13" s="11" t="n">
        <v>104209.4400000001</v>
      </c>
    </row>
    <row r="14">
      <c r="A14" s="6" t="inlineStr">
        <is>
          <t>(negativo = por debajo del presupuesto; positivo = por encima)</t>
        </is>
      </c>
    </row>
    <row r="16">
      <c r="A16" s="10" t="inlineStr">
        <is>
          <t>Casa: presupuesto</t>
        </is>
      </c>
      <c r="B16" s="11" t="n">
        <v>236000</v>
      </c>
      <c r="C16" s="11" t="n">
        <v>200000</v>
      </c>
    </row>
    <row r="17">
      <c r="A17" s="10" t="inlineStr">
        <is>
          <t>Casa: real (216,620 + 23,600)</t>
        </is>
      </c>
      <c r="B17" s="11" t="n">
        <v>240220</v>
      </c>
      <c r="C17" s="11" t="n">
        <v>240220</v>
      </c>
    </row>
    <row r="18">
      <c r="A18" s="10" t="inlineStr">
        <is>
          <t>Casa: desvío</t>
        </is>
      </c>
      <c r="B18" s="11" t="n">
        <v>4220</v>
      </c>
      <c r="C18" s="11" t="n">
        <v>40220</v>
      </c>
    </row>
    <row r="20">
      <c r="A20" s="6" t="inlineStr">
        <is>
          <t>Diferencia entre presupuestos 83,390 = casa 36,000 + peces 31,000 + cocina 20,255 + transporte 5,000 + biblias 1,600 − guías 3,600 − ensayo 3,000 − avanzada 3,900 + palancas 35.</t>
        </is>
      </c>
    </row>
    <row r="21">
      <c r="A21" s="6" t="inlineStr">
        <is>
          <t>Declarado OFICIAL por el director (11-sep): 11-Ago, porque refleja la tarifa real de la casa (2,360) y el costo completo. El Sistem es lo que ve el tablero; ambos quedaron marcados "Tentativo".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14" customWidth="1" min="3" max="3"/>
    <col width="80" customWidth="1" min="4" max="4"/>
  </cols>
  <sheetData>
    <row r="1">
      <c r="A1" s="72" t="inlineStr">
        <is>
          <t>GASTOS — registro de tesorería (22 movimientos · 24 filas: el pago a JM de 37,500 desglosado)</t>
        </is>
      </c>
    </row>
    <row r="2" ht="30" customHeight="1">
      <c r="A2" s="34" t="inlineStr">
        <is>
          <t>Los 22 gastos del registro en orden de fecha. Las tres filas marcadas ► son el desglose de una sola transferencia de 37,500. La columna Nota explica qué es cada gasto.</t>
        </is>
      </c>
    </row>
    <row r="3">
      <c r="A3" s="73" t="inlineStr">
        <is>
          <t>Fecha</t>
        </is>
      </c>
      <c r="B3" s="73" t="inlineStr">
        <is>
          <t>Concepto</t>
        </is>
      </c>
      <c r="C3" s="73" t="inlineStr">
        <is>
          <t>RD$</t>
        </is>
      </c>
      <c r="D3" s="73" t="inlineStr">
        <is>
          <t>Nota</t>
        </is>
      </c>
    </row>
    <row r="4">
      <c r="A4" s="32" t="inlineStr">
        <is>
          <t>05/07</t>
        </is>
      </c>
      <c r="B4" s="32" t="inlineStr">
        <is>
          <t>Merienda formación 3</t>
        </is>
      </c>
      <c r="C4" s="17" t="n">
        <v>2500</v>
      </c>
      <c r="D4" s="18" t="inlineStr"/>
    </row>
    <row r="5">
      <c r="A5" s="32" t="inlineStr">
        <is>
          <t>21/07</t>
        </is>
      </c>
      <c r="B5" s="32" t="inlineStr">
        <is>
          <t>Pago descontado a Priscila por donación de materiales guías</t>
        </is>
      </c>
      <c r="C5" s="17" t="n">
        <v>2000</v>
      </c>
      <c r="D5" s="18" t="inlineStr">
        <is>
          <t>Efectivo a Priscila: reduce su donación en especie (ver hoja Especie)</t>
        </is>
      </c>
    </row>
    <row r="6">
      <c r="A6" s="32" t="inlineStr">
        <is>
          <t>05/08</t>
        </is>
      </c>
      <c r="B6" s="32" t="inlineStr">
        <is>
          <t>Pago courier materiales guías</t>
        </is>
      </c>
      <c r="C6" s="17" t="n">
        <v>2120</v>
      </c>
      <c r="D6" s="18" t="inlineStr"/>
    </row>
    <row r="7">
      <c r="A7" s="32" t="inlineStr">
        <is>
          <t>07/08</t>
        </is>
      </c>
      <c r="B7" s="32" t="inlineStr">
        <is>
          <t>Pago llaveros Música (50%)</t>
        </is>
      </c>
      <c r="C7" s="17" t="n">
        <v>4500</v>
      </c>
      <c r="D7" s="18" t="inlineStr"/>
    </row>
    <row r="8">
      <c r="A8" s="32" t="inlineStr">
        <is>
          <t>16/08</t>
        </is>
      </c>
      <c r="B8" s="32" t="inlineStr">
        <is>
          <t>Compra merienda convivencia</t>
        </is>
      </c>
      <c r="C8" s="17" t="n">
        <v>3420</v>
      </c>
      <c r="D8" s="18" t="inlineStr"/>
    </row>
    <row r="9">
      <c r="A9" s="32" t="inlineStr">
        <is>
          <t>16/08</t>
        </is>
      </c>
      <c r="B9" s="32" t="inlineStr">
        <is>
          <t>Pago 50% t-shirt equipo</t>
        </is>
      </c>
      <c r="C9" s="17" t="n">
        <v>14400</v>
      </c>
      <c r="D9" s="18" t="inlineStr"/>
    </row>
    <row r="10">
      <c r="A10" s="32" t="inlineStr">
        <is>
          <t>16/08</t>
        </is>
      </c>
      <c r="B10" s="32" t="inlineStr">
        <is>
          <t>Pago impresiones guías (mochilas)</t>
        </is>
      </c>
      <c r="C10" s="17" t="n">
        <v>3600</v>
      </c>
      <c r="D10" s="18" t="inlineStr">
        <is>
          <t>Distinto de 'impresiones diversas' donadas por Darianny (director)</t>
        </is>
      </c>
    </row>
    <row r="11">
      <c r="A11" s="32" t="inlineStr">
        <is>
          <t>19/08</t>
        </is>
      </c>
      <c r="B11" s="32" t="inlineStr">
        <is>
          <t>Pago salón para Ensayo (dom 23-ago)</t>
        </is>
      </c>
      <c r="C11" s="17" t="n">
        <v>3000</v>
      </c>
      <c r="D11" s="18" t="inlineStr">
        <is>
          <t>Parroquia Santa Clara: día adicional para el ensayo general</t>
        </is>
      </c>
    </row>
    <row r="12">
      <c r="A12" s="32" t="inlineStr">
        <is>
          <t>19/08</t>
        </is>
      </c>
      <c r="B12" s="32" t="inlineStr">
        <is>
          <t>Pago a JM x pago Biblias ETC 88</t>
        </is>
      </c>
      <c r="C12" s="17" t="n">
        <v>35360</v>
      </c>
      <c r="D12" s="18" t="inlineStr">
        <is>
          <t>Reembolso a JM. 52 biblias × 680 = 35,360 exactos. El presupuesto solo tenía 50 (34,000): las 2 de más (1,360) son las que figuraban como 'las pagaría Camila' y terminaron dentro de lo que pagó el grupo</t>
        </is>
      </c>
    </row>
    <row r="13">
      <c r="A13" s="32" t="inlineStr">
        <is>
          <t>21/08</t>
        </is>
      </c>
      <c r="B13" s="32" t="inlineStr">
        <is>
          <t>Pago 50% faltante de camisetas</t>
        </is>
      </c>
      <c r="C13" s="17" t="n">
        <v>14400</v>
      </c>
      <c r="D13" s="18" t="inlineStr"/>
    </row>
    <row r="14">
      <c r="A14" s="32" t="inlineStr">
        <is>
          <t>28/08</t>
        </is>
      </c>
      <c r="B14" s="32" t="inlineStr">
        <is>
          <t>Cajitas para palancas</t>
        </is>
      </c>
      <c r="C14" s="17" t="n">
        <v>2965</v>
      </c>
      <c r="D14" s="18" t="inlineStr"/>
    </row>
    <row r="15">
      <c r="A15" s="32" t="inlineStr">
        <is>
          <t>28/08</t>
        </is>
      </c>
      <c r="B15" s="32" t="inlineStr">
        <is>
          <t>Saldo llaveros de música</t>
        </is>
      </c>
      <c r="C15" s="17" t="n">
        <v>4500</v>
      </c>
      <c r="D15" s="18" t="inlineStr"/>
    </row>
    <row r="16">
      <c r="A16" s="32" t="inlineStr">
        <is>
          <t>01/09</t>
        </is>
      </c>
      <c r="B16" s="32" t="inlineStr">
        <is>
          <t>Transporte — abono (1ª mitad)</t>
        </is>
      </c>
      <c r="C16" s="17" t="n">
        <v>17500</v>
      </c>
      <c r="D16" s="18" t="inlineStr"/>
    </row>
    <row r="17">
      <c r="A17" s="32" t="inlineStr">
        <is>
          <t>07/09</t>
        </is>
      </c>
      <c r="B17" s="32" t="inlineStr">
        <is>
          <t>Helados premios</t>
        </is>
      </c>
      <c r="C17" s="17" t="n">
        <v>1740</v>
      </c>
      <c r="D17" s="18" t="inlineStr">
        <is>
          <t>Premio de la dinámica: sustituyó al bizcocho presupuestado en Cocina (1,500). Confirmado por el director 11-sep</t>
        </is>
      </c>
    </row>
    <row r="18">
      <c r="A18" s="32" t="inlineStr">
        <is>
          <t>07/09</t>
        </is>
      </c>
      <c r="B18" s="32" t="inlineStr">
        <is>
          <t>Para tener en efectivo para imprevistos</t>
        </is>
      </c>
      <c r="C18" s="17" t="n">
        <v>15000</v>
      </c>
      <c r="D18" s="18" t="inlineStr">
        <is>
          <t>Liquidado: 5,000 a cocina en la casa de retiro + 10,000 reembolso del salón de formaciones a Juan Manuel (confirmado 11-sep)</t>
        </is>
      </c>
    </row>
    <row r="19">
      <c r="A19" s="32" t="inlineStr">
        <is>
          <t>10/09</t>
        </is>
      </c>
      <c r="B19" s="32" t="inlineStr">
        <is>
          <t>Compra de comida (transferencia a Iberia)</t>
        </is>
      </c>
      <c r="C19" s="17" t="n">
        <v>74509</v>
      </c>
      <c r="D19" s="18" t="inlineStr">
        <is>
          <t>Cotización Paloma 01-sep 77,044.05 → pagado 74,509</t>
        </is>
      </c>
    </row>
    <row r="20">
      <c r="A20" s="74" t="inlineStr">
        <is>
          <t>10/09</t>
        </is>
      </c>
      <c r="B20" s="75" t="inlineStr">
        <is>
          <t>Pago a JM ► transporte, 2ª mitad (guagua 1: 10,000 + guagua 2: 7,500)</t>
        </is>
      </c>
      <c r="C20" s="76" t="n">
        <v>17500</v>
      </c>
      <c r="D20" s="77" t="inlineStr">
        <is>
          <t>Desglose del director (11-sep) del pago único de 37,500 que el registro de tesorería tiene en una sola línea "Pago a JM (transporte + imprevistos)"</t>
        </is>
      </c>
    </row>
    <row r="21">
      <c r="A21" s="74" t="inlineStr">
        <is>
          <t>10/09</t>
        </is>
      </c>
      <c r="B21" s="75" t="inlineStr">
        <is>
          <t>Pago a JM ► desvío del transporte</t>
        </is>
      </c>
      <c r="C21" s="76" t="n">
        <v>10000</v>
      </c>
      <c r="D21" s="77" t="inlineStr">
        <is>
          <t>Misma transferencia de 37,500 (desglose del director)</t>
        </is>
      </c>
    </row>
    <row r="22">
      <c r="A22" s="74" t="inlineStr">
        <is>
          <t>10/09</t>
        </is>
      </c>
      <c r="B22" s="75" t="inlineStr">
        <is>
          <t>Pago a JM ► ofrenda al P. Héctor por las confesiones</t>
        </is>
      </c>
      <c r="C22" s="76" t="n">
        <v>10000</v>
      </c>
      <c r="D22" s="77" t="inlineStr">
        <is>
          <t>Misma transferencia de 37,500 (desglose del director)</t>
        </is>
      </c>
    </row>
    <row r="23">
      <c r="A23" s="32" t="inlineStr">
        <is>
          <t>10/09</t>
        </is>
      </c>
      <c r="B23" s="32" t="inlineStr">
        <is>
          <t>Devolución del 10% del pago de la casa al Consejo</t>
        </is>
      </c>
      <c r="C23" s="17" t="n">
        <v>23600</v>
      </c>
      <c r="D23" s="18" t="inlineStr">
        <is>
          <t>Reserva/avance de la casa</t>
        </is>
      </c>
    </row>
    <row r="24">
      <c r="A24" s="32" t="inlineStr">
        <is>
          <t>10/09</t>
        </is>
      </c>
      <c r="B24" s="32" t="inlineStr">
        <is>
          <t>Cocina (detalles) + gasolina</t>
        </is>
      </c>
      <c r="C24" s="17" t="n">
        <v>15980</v>
      </c>
      <c r="D24" s="18" t="inlineStr">
        <is>
          <t>Pagado a Paloma: detalles de cocina + combustible. El registro de tesorería no desglosa las dos partes</t>
        </is>
      </c>
    </row>
    <row r="25">
      <c r="A25" s="32" t="inlineStr">
        <is>
          <t>10/09</t>
        </is>
      </c>
      <c r="B25" s="32" t="inlineStr">
        <is>
          <t>Comida de ensayo (a JC)</t>
        </is>
      </c>
      <c r="C25" s="17" t="n">
        <v>14730</v>
      </c>
      <c r="D25" s="18" t="inlineStr"/>
    </row>
    <row r="26">
      <c r="A26" s="32" t="inlineStr">
        <is>
          <t>10/09</t>
        </is>
      </c>
      <c r="B26" s="32" t="inlineStr">
        <is>
          <t>Bizcocho de bienvenida</t>
        </is>
      </c>
      <c r="C26" s="17" t="n">
        <v>6000</v>
      </c>
      <c r="D26" s="18" t="inlineStr">
        <is>
          <t>Confirmado 6,000 (director, 11-sep). Distinto del bizcocho de la dinámica (ppto Cocina 1,500), que se cambió por helados</t>
        </is>
      </c>
    </row>
    <row r="27">
      <c r="A27" s="32" t="inlineStr">
        <is>
          <t>10/09</t>
        </is>
      </c>
      <c r="B27" s="32" t="inlineStr">
        <is>
          <t>Pago de la Casa (final)</t>
        </is>
      </c>
      <c r="C27" s="17" t="n">
        <v>216620</v>
      </c>
      <c r="D27" s="18" t="inlineStr">
        <is>
          <t>99 en la casa, 97 facturadas × 2,360 (2 cortesía) − avance 23,600 + jueves 19×500 + habitaciones</t>
        </is>
      </c>
    </row>
    <row r="28">
      <c r="A28" s="78" t="n"/>
      <c r="B28" s="23" t="inlineStr">
        <is>
          <t>TOTAL GASTOS (= salidas del tablero)</t>
        </is>
      </c>
      <c r="C28" s="24" t="n">
        <v>515944</v>
      </c>
    </row>
    <row r="30">
      <c r="B30" s="6" t="inlineStr">
        <is>
          <t>Transporte total 45,000 = abono 17,500 + 2ª mitad 17,500 + desvío 10,000. Ofrenda al P. Héctor 10,000. Las tres filas ► son una sola transferencia de 37,500.</t>
        </is>
      </c>
    </row>
    <row r="31">
      <c r="B31" s="6" t="inlineStr">
        <is>
          <t>Casa total = final 216,620 + avance 23,600 = 240,220. Efectivo de imprevistos 15,000 = 5,000 a cocina en la casa + 10,000 reembolso del salón de formaciones (liquidado).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56" customWidth="1" min="4" max="4"/>
    <col width="8" customWidth="1" min="5" max="5"/>
  </cols>
  <sheetData>
    <row r="1">
      <c r="A1" s="1" t="inlineStr">
        <is>
          <t>DONACIONES EN EFECTIVO — registro de tesorería (49)</t>
        </is>
      </c>
    </row>
    <row r="2" ht="30" customHeight="1">
      <c r="A2" s="34" t="inlineStr">
        <is>
          <t>Las 49 donaciones en dinero tal como están en el registro. ⚠ marca las que necesitan una nota explícita para el Consejo.</t>
        </is>
      </c>
    </row>
    <row r="3">
      <c r="A3" s="79" t="inlineStr">
        <is>
          <t>Fecha</t>
        </is>
      </c>
      <c r="B3" s="79" t="inlineStr">
        <is>
          <t>Donante</t>
        </is>
      </c>
      <c r="C3" s="79" t="inlineStr">
        <is>
          <t>RD$</t>
        </is>
      </c>
      <c r="D3" s="79" t="inlineStr">
        <is>
          <t>Nota</t>
        </is>
      </c>
      <c r="E3" s="79" t="inlineStr">
        <is>
          <t>Consejo</t>
        </is>
      </c>
    </row>
    <row r="4">
      <c r="A4" s="32" t="inlineStr">
        <is>
          <t>—</t>
        </is>
      </c>
      <c r="B4" s="32" t="inlineStr">
        <is>
          <t>Mamá de Juan Manuel</t>
        </is>
      </c>
      <c r="C4" s="17" t="n">
        <v>5000</v>
      </c>
      <c r="D4" s="18" t="inlineStr">
        <is>
          <t>Merienda formación 3</t>
        </is>
      </c>
      <c r="E4" s="41" t="n"/>
    </row>
    <row r="5">
      <c r="A5" s="32" t="inlineStr">
        <is>
          <t>21/07</t>
        </is>
      </c>
      <c r="B5" s="32" t="inlineStr">
        <is>
          <t>Sobrante de cuenta de Risaira</t>
        </is>
      </c>
      <c r="C5" s="17" t="n">
        <v>100</v>
      </c>
      <c r="D5" s="18" t="inlineStr">
        <is>
          <t>Le sobran 100 pesos</t>
        </is>
      </c>
      <c r="E5" s="41" t="n"/>
    </row>
    <row r="6">
      <c r="A6" s="32" t="inlineStr">
        <is>
          <t>21/07</t>
        </is>
      </c>
      <c r="B6" s="32" t="inlineStr">
        <is>
          <t>Maria Astacio</t>
        </is>
      </c>
      <c r="C6" s="17" t="n">
        <v>2000</v>
      </c>
      <c r="D6" s="18" t="inlineStr"/>
      <c r="E6" s="41" t="n"/>
    </row>
    <row r="7">
      <c r="A7" s="32" t="inlineStr">
        <is>
          <t>25/07</t>
        </is>
      </c>
      <c r="B7" s="32" t="inlineStr">
        <is>
          <t>Daysiber Madeline Pérez</t>
        </is>
      </c>
      <c r="C7" s="17" t="n">
        <v>4000</v>
      </c>
      <c r="D7" s="18" t="inlineStr"/>
      <c r="E7" s="41" t="n"/>
    </row>
    <row r="8">
      <c r="A8" s="32" t="inlineStr">
        <is>
          <t>30/07</t>
        </is>
      </c>
      <c r="B8" s="32" t="inlineStr">
        <is>
          <t>Gilberto Vásquez</t>
        </is>
      </c>
      <c r="C8" s="17" t="n">
        <v>6000</v>
      </c>
      <c r="D8" s="18" t="inlineStr">
        <is>
          <t>Vía Johnnito R</t>
        </is>
      </c>
      <c r="E8" s="41" t="n"/>
    </row>
    <row r="9">
      <c r="A9" s="32" t="inlineStr">
        <is>
          <t>31/07</t>
        </is>
      </c>
      <c r="B9" s="32" t="inlineStr">
        <is>
          <t>Víctor Fernández</t>
        </is>
      </c>
      <c r="C9" s="17" t="n">
        <v>3000</v>
      </c>
      <c r="D9" s="18" t="inlineStr">
        <is>
          <t>Papá de Laura</t>
        </is>
      </c>
      <c r="E9" s="41" t="n"/>
    </row>
    <row r="10">
      <c r="A10" s="32" t="inlineStr">
        <is>
          <t>01/08</t>
        </is>
      </c>
      <c r="B10" s="32" t="inlineStr">
        <is>
          <t>Scarlett Nivar</t>
        </is>
      </c>
      <c r="C10" s="17" t="n">
        <v>1000</v>
      </c>
      <c r="D10" s="18" t="inlineStr"/>
      <c r="E10" s="41" t="n"/>
    </row>
    <row r="11">
      <c r="A11" s="32" t="inlineStr">
        <is>
          <t>02/08</t>
        </is>
      </c>
      <c r="B11" s="32" t="inlineStr">
        <is>
          <t>Wilfrid</t>
        </is>
      </c>
      <c r="C11" s="17" t="n">
        <v>1000</v>
      </c>
      <c r="D11" s="18" t="inlineStr">
        <is>
          <t>Llegó como transferencia sin identificar y se ubicó: es Wilfrid, gestión de Ivanna (lista del director, 10-sep)</t>
        </is>
      </c>
      <c r="E11" s="41" t="n"/>
    </row>
    <row r="12">
      <c r="A12" s="32" t="inlineStr">
        <is>
          <t>04/08</t>
        </is>
      </c>
      <c r="B12" s="32" t="inlineStr">
        <is>
          <t>Sahoni Angomas</t>
        </is>
      </c>
      <c r="C12" s="17" t="n">
        <v>2000</v>
      </c>
      <c r="D12" s="18" t="inlineStr"/>
      <c r="E12" s="41" t="n"/>
    </row>
    <row r="13">
      <c r="A13" s="32" t="inlineStr">
        <is>
          <t>06/08</t>
        </is>
      </c>
      <c r="B13" s="32" t="inlineStr">
        <is>
          <t>Roosbert Mejía</t>
        </is>
      </c>
      <c r="C13" s="17" t="n">
        <v>800</v>
      </c>
      <c r="D13" s="18" t="inlineStr">
        <is>
          <t>#Dóname1biblia</t>
        </is>
      </c>
      <c r="E13" s="41" t="n"/>
    </row>
    <row r="14">
      <c r="A14" s="32" t="inlineStr">
        <is>
          <t>06/08</t>
        </is>
      </c>
      <c r="B14" s="32" t="inlineStr">
        <is>
          <t>Pamela Nivar</t>
        </is>
      </c>
      <c r="C14" s="17" t="n">
        <v>800</v>
      </c>
      <c r="D14" s="18" t="inlineStr">
        <is>
          <t>#Dóname1biblia</t>
        </is>
      </c>
      <c r="E14" s="41" t="n"/>
    </row>
    <row r="15">
      <c r="A15" s="32" t="inlineStr">
        <is>
          <t>06/08</t>
        </is>
      </c>
      <c r="B15" s="32" t="inlineStr">
        <is>
          <t>Víctor Tomás Frías</t>
        </is>
      </c>
      <c r="C15" s="17" t="n">
        <v>20000</v>
      </c>
      <c r="D15" s="18" t="inlineStr"/>
      <c r="E15" s="41" t="n"/>
    </row>
    <row r="16">
      <c r="A16" s="32" t="inlineStr">
        <is>
          <t>07/08</t>
        </is>
      </c>
      <c r="B16" s="32" t="inlineStr">
        <is>
          <t>Alberlys</t>
        </is>
      </c>
      <c r="C16" s="17" t="n">
        <v>1000</v>
      </c>
      <c r="D16" s="18" t="inlineStr">
        <is>
          <t>Gestión Day</t>
        </is>
      </c>
      <c r="E16" s="41" t="n"/>
    </row>
    <row r="17">
      <c r="A17" s="32" t="inlineStr">
        <is>
          <t>07/08</t>
        </is>
      </c>
      <c r="B17" s="32" t="inlineStr">
        <is>
          <t>Yelaxni</t>
        </is>
      </c>
      <c r="C17" s="17" t="n">
        <v>1200</v>
      </c>
      <c r="D17" s="18" t="inlineStr">
        <is>
          <t>Para detergentes</t>
        </is>
      </c>
      <c r="E17" s="41" t="n"/>
    </row>
    <row r="18">
      <c r="A18" s="32" t="inlineStr">
        <is>
          <t>08/08</t>
        </is>
      </c>
      <c r="B18" s="32" t="inlineStr">
        <is>
          <t>Wendy</t>
        </is>
      </c>
      <c r="C18" s="17" t="n">
        <v>700</v>
      </c>
      <c r="D18" s="18" t="inlineStr">
        <is>
          <t>Gestión Dayrelins</t>
        </is>
      </c>
      <c r="E18" s="41" t="n"/>
    </row>
    <row r="19">
      <c r="A19" s="32" t="inlineStr">
        <is>
          <t>10/08</t>
        </is>
      </c>
      <c r="B19" s="32" t="inlineStr">
        <is>
          <t>Julio Muñoz</t>
        </is>
      </c>
      <c r="C19" s="17" t="n">
        <v>5831</v>
      </c>
      <c r="D19" s="18" t="inlineStr">
        <is>
          <t>Gestión JM</t>
        </is>
      </c>
      <c r="E19" s="41" t="n"/>
    </row>
    <row r="20">
      <c r="A20" s="32" t="inlineStr">
        <is>
          <t>11/08</t>
        </is>
      </c>
      <c r="B20" s="32" t="inlineStr">
        <is>
          <t>Carol Fernández</t>
        </is>
      </c>
      <c r="C20" s="17" t="n">
        <v>8400</v>
      </c>
      <c r="D20" s="18" t="inlineStr">
        <is>
          <t>Donación biblias</t>
        </is>
      </c>
      <c r="E20" s="41" t="n"/>
    </row>
    <row r="21">
      <c r="A21" s="32" t="inlineStr">
        <is>
          <t>12/08</t>
        </is>
      </c>
      <c r="B21" s="32" t="inlineStr">
        <is>
          <t>Emmanuel Ureña</t>
        </is>
      </c>
      <c r="C21" s="17" t="n">
        <v>5000</v>
      </c>
      <c r="D21" s="18" t="inlineStr">
        <is>
          <t>Gestión Nelson</t>
        </is>
      </c>
      <c r="E21" s="41" t="n"/>
    </row>
    <row r="22">
      <c r="A22" s="32" t="inlineStr">
        <is>
          <t>13/08</t>
        </is>
      </c>
      <c r="B22" s="80" t="inlineStr">
        <is>
          <t>Yendry Rincón</t>
        </is>
      </c>
      <c r="C22" s="17" t="n">
        <v>1000</v>
      </c>
      <c r="D22" s="18" t="inlineStr">
        <is>
          <t>Donante identificado; lo que faltó fue la captura del comprobante. El dinero entró y cuadra con el banco</t>
        </is>
      </c>
      <c r="E22" s="81" t="inlineStr">
        <is>
          <t>⚠</t>
        </is>
      </c>
    </row>
    <row r="23">
      <c r="A23" s="32" t="inlineStr">
        <is>
          <t>13/08</t>
        </is>
      </c>
      <c r="B23" s="32" t="inlineStr">
        <is>
          <t>Kharla C.</t>
        </is>
      </c>
      <c r="C23" s="17" t="n">
        <v>4500</v>
      </c>
      <c r="D23" s="18" t="inlineStr">
        <is>
          <t>Donación biblias</t>
        </is>
      </c>
      <c r="E23" s="41" t="n"/>
    </row>
    <row r="24">
      <c r="A24" s="32" t="inlineStr">
        <is>
          <t>14/08</t>
        </is>
      </c>
      <c r="B24" s="32" t="inlineStr">
        <is>
          <t>Therapia Café</t>
        </is>
      </c>
      <c r="C24" s="17" t="n">
        <v>4500</v>
      </c>
      <c r="D24" s="18" t="inlineStr"/>
      <c r="E24" s="41" t="n"/>
    </row>
    <row r="25">
      <c r="A25" s="32" t="inlineStr">
        <is>
          <t>16/08</t>
        </is>
      </c>
      <c r="B25" s="32" t="inlineStr">
        <is>
          <t>Wirna (biblias)</t>
        </is>
      </c>
      <c r="C25" s="17" t="n">
        <v>2000</v>
      </c>
      <c r="D25" s="18" t="inlineStr">
        <is>
          <t>Vía Wirna</t>
        </is>
      </c>
      <c r="E25" s="41" t="n"/>
    </row>
    <row r="26">
      <c r="A26" s="32" t="inlineStr">
        <is>
          <t>18/08</t>
        </is>
      </c>
      <c r="B26" s="32" t="inlineStr">
        <is>
          <t>Breezy Tavarez</t>
        </is>
      </c>
      <c r="C26" s="17" t="n">
        <v>3000</v>
      </c>
      <c r="D26" s="18" t="inlineStr">
        <is>
          <t>Vía Wirna</t>
        </is>
      </c>
      <c r="E26" s="41" t="n"/>
    </row>
    <row r="27">
      <c r="A27" s="32" t="inlineStr">
        <is>
          <t>18/08</t>
        </is>
      </c>
      <c r="B27" s="32" t="inlineStr">
        <is>
          <t>Mirna Stapleton</t>
        </is>
      </c>
      <c r="C27" s="17" t="n">
        <v>2500</v>
      </c>
      <c r="D27" s="18" t="inlineStr">
        <is>
          <t>Vía Wirna</t>
        </is>
      </c>
      <c r="E27" s="41" t="n"/>
    </row>
    <row r="28">
      <c r="A28" s="32" t="inlineStr">
        <is>
          <t>18/08</t>
        </is>
      </c>
      <c r="B28" s="32" t="inlineStr">
        <is>
          <t>Miriel Mercedes</t>
        </is>
      </c>
      <c r="C28" s="17" t="n">
        <v>1000</v>
      </c>
      <c r="D28" s="18" t="inlineStr"/>
      <c r="E28" s="41" t="n"/>
    </row>
    <row r="29">
      <c r="A29" s="32" t="inlineStr">
        <is>
          <t>20/08</t>
        </is>
      </c>
      <c r="B29" s="32" t="inlineStr">
        <is>
          <t>Brissa Angélica</t>
        </is>
      </c>
      <c r="C29" s="17" t="n">
        <v>800</v>
      </c>
      <c r="D29" s="18" t="inlineStr">
        <is>
          <t>Vía Wirna</t>
        </is>
      </c>
      <c r="E29" s="41" t="n"/>
    </row>
    <row r="30">
      <c r="A30" s="32" t="inlineStr">
        <is>
          <t>21/08</t>
        </is>
      </c>
      <c r="B30" s="32" t="inlineStr">
        <is>
          <t>Gisselle Núñez</t>
        </is>
      </c>
      <c r="C30" s="17" t="n">
        <v>6633</v>
      </c>
      <c r="D30" s="18" t="inlineStr">
        <is>
          <t>Vía Paloma</t>
        </is>
      </c>
      <c r="E30" s="41" t="n"/>
    </row>
    <row r="31">
      <c r="A31" s="32" t="inlineStr">
        <is>
          <t>21/08</t>
        </is>
      </c>
      <c r="B31" s="32" t="inlineStr">
        <is>
          <t>Sheiner</t>
        </is>
      </c>
      <c r="C31" s="17" t="n">
        <v>4000</v>
      </c>
      <c r="D31" s="18" t="inlineStr">
        <is>
          <t>Vía Nelson</t>
        </is>
      </c>
      <c r="E31" s="41" t="n"/>
    </row>
    <row r="32">
      <c r="A32" s="32" t="inlineStr">
        <is>
          <t>22/08</t>
        </is>
      </c>
      <c r="B32" s="32" t="inlineStr">
        <is>
          <t>Emely Soriano</t>
        </is>
      </c>
      <c r="C32" s="17" t="n">
        <v>3000</v>
      </c>
      <c r="D32" s="18" t="inlineStr"/>
      <c r="E32" s="41" t="n"/>
    </row>
    <row r="33">
      <c r="A33" s="32" t="inlineStr">
        <is>
          <t>22/08</t>
        </is>
      </c>
      <c r="B33" s="32" t="inlineStr">
        <is>
          <t>Abrahan</t>
        </is>
      </c>
      <c r="C33" s="17" t="n">
        <v>10000</v>
      </c>
      <c r="D33" s="18" t="inlineStr"/>
      <c r="E33" s="41" t="n"/>
    </row>
    <row r="34">
      <c r="A34" s="32" t="inlineStr">
        <is>
          <t>23/08</t>
        </is>
      </c>
      <c r="B34" s="32" t="inlineStr">
        <is>
          <t>Mamá de Yelaxni</t>
        </is>
      </c>
      <c r="C34" s="17" t="n">
        <v>500</v>
      </c>
      <c r="D34" s="18" t="inlineStr"/>
      <c r="E34" s="41" t="n"/>
    </row>
    <row r="35">
      <c r="A35" s="32" t="inlineStr">
        <is>
          <t>24/08</t>
        </is>
      </c>
      <c r="B35" s="32" t="inlineStr">
        <is>
          <t>Jamirka</t>
        </is>
      </c>
      <c r="C35" s="17" t="n">
        <v>2000</v>
      </c>
      <c r="D35" s="18" t="inlineStr">
        <is>
          <t>Vía Wirna</t>
        </is>
      </c>
      <c r="E35" s="41" t="n"/>
    </row>
    <row r="36">
      <c r="A36" s="32" t="inlineStr">
        <is>
          <t>25/08</t>
        </is>
      </c>
      <c r="B36" s="32" t="inlineStr">
        <is>
          <t>Zaglul</t>
        </is>
      </c>
      <c r="C36" s="17" t="n">
        <v>3000</v>
      </c>
      <c r="D36" s="18" t="inlineStr">
        <is>
          <t>Cheque cambiado y depositado</t>
        </is>
      </c>
      <c r="E36" s="41" t="n"/>
    </row>
    <row r="37">
      <c r="A37" s="32" t="inlineStr">
        <is>
          <t>27/08</t>
        </is>
      </c>
      <c r="B37" s="32" t="inlineStr">
        <is>
          <t>Jessica De León</t>
        </is>
      </c>
      <c r="C37" s="17" t="n">
        <v>2000</v>
      </c>
      <c r="D37" s="18" t="inlineStr"/>
      <c r="E37" s="41" t="n"/>
    </row>
    <row r="38">
      <c r="A38" s="32" t="inlineStr">
        <is>
          <t>28/08</t>
        </is>
      </c>
      <c r="B38" s="32" t="inlineStr">
        <is>
          <t>Eliana Almeida Rogers</t>
        </is>
      </c>
      <c r="C38" s="17" t="n">
        <v>1500</v>
      </c>
      <c r="D38" s="18" t="inlineStr"/>
      <c r="E38" s="41" t="n"/>
    </row>
    <row r="39">
      <c r="A39" s="32" t="inlineStr">
        <is>
          <t>28/08</t>
        </is>
      </c>
      <c r="B39" s="32" t="inlineStr">
        <is>
          <t>Rosanna Matos</t>
        </is>
      </c>
      <c r="C39" s="17" t="n">
        <v>3000</v>
      </c>
      <c r="D39" s="18" t="inlineStr">
        <is>
          <t>Para papel de baño</t>
        </is>
      </c>
      <c r="E39" s="41" t="n"/>
    </row>
    <row r="40">
      <c r="A40" s="32" t="inlineStr">
        <is>
          <t>29/08</t>
        </is>
      </c>
      <c r="B40" s="32" t="inlineStr">
        <is>
          <t>Carlos Rosario</t>
        </is>
      </c>
      <c r="C40" s="17" t="n">
        <v>1500</v>
      </c>
      <c r="D40" s="18" t="inlineStr"/>
      <c r="E40" s="41" t="n"/>
    </row>
    <row r="41">
      <c r="A41" s="32" t="inlineStr">
        <is>
          <t>30/08</t>
        </is>
      </c>
      <c r="B41" s="32" t="inlineStr">
        <is>
          <t>Carolina Almánzar</t>
        </is>
      </c>
      <c r="C41" s="17" t="n">
        <v>800</v>
      </c>
      <c r="D41" s="18" t="inlineStr"/>
      <c r="E41" s="41" t="n"/>
    </row>
    <row r="42">
      <c r="A42" s="32" t="inlineStr">
        <is>
          <t>30/08</t>
        </is>
      </c>
      <c r="B42" s="32" t="inlineStr">
        <is>
          <t>Bendición</t>
        </is>
      </c>
      <c r="C42" s="17" t="n">
        <v>3157</v>
      </c>
      <c r="D42" s="18" t="inlineStr">
        <is>
          <t>Cayó a cuenta Risaira</t>
        </is>
      </c>
      <c r="E42" s="41" t="n"/>
    </row>
    <row r="43">
      <c r="A43" s="32" t="inlineStr">
        <is>
          <t>31/08</t>
        </is>
      </c>
      <c r="B43" s="32" t="inlineStr">
        <is>
          <t>Papá de J&amp;J</t>
        </is>
      </c>
      <c r="C43" s="17" t="n">
        <v>5000</v>
      </c>
      <c r="D43" s="18" t="inlineStr"/>
      <c r="E43" s="41" t="n"/>
    </row>
    <row r="44">
      <c r="A44" s="32" t="inlineStr">
        <is>
          <t>31/08</t>
        </is>
      </c>
      <c r="B44" s="32" t="inlineStr">
        <is>
          <t>Jonathan Medina</t>
        </is>
      </c>
      <c r="C44" s="17" t="n">
        <v>1500</v>
      </c>
      <c r="D44" s="18" t="inlineStr">
        <is>
          <t>Diferencia de devolución de pago de participante caído</t>
        </is>
      </c>
      <c r="E44" s="41" t="n"/>
    </row>
    <row r="45">
      <c r="A45" s="32" t="inlineStr">
        <is>
          <t>01/09</t>
        </is>
      </c>
      <c r="B45" s="32" t="inlineStr">
        <is>
          <t>Justin Méndez</t>
        </is>
      </c>
      <c r="C45" s="17" t="n">
        <v>5000</v>
      </c>
      <c r="D45" s="18" t="inlineStr"/>
      <c r="E45" s="41" t="n"/>
    </row>
    <row r="46">
      <c r="A46" s="32" t="inlineStr">
        <is>
          <t>01/09</t>
        </is>
      </c>
      <c r="B46" s="32" t="inlineStr">
        <is>
          <t>Melida Marian Feliz</t>
        </is>
      </c>
      <c r="C46" s="17" t="n">
        <v>800</v>
      </c>
      <c r="D46" s="18" t="inlineStr"/>
      <c r="E46" s="41" t="n"/>
    </row>
    <row r="47">
      <c r="A47" s="32" t="inlineStr">
        <is>
          <t>03/09</t>
        </is>
      </c>
      <c r="B47" s="32" t="inlineStr">
        <is>
          <t>Glennys Sosa</t>
        </is>
      </c>
      <c r="C47" s="17" t="n">
        <v>2000</v>
      </c>
      <c r="D47" s="18" t="inlineStr"/>
      <c r="E47" s="41" t="n"/>
    </row>
    <row r="48">
      <c r="A48" s="32" t="inlineStr">
        <is>
          <t>03/09</t>
        </is>
      </c>
      <c r="B48" s="32" t="inlineStr">
        <is>
          <t>Yaneris Almeida</t>
        </is>
      </c>
      <c r="C48" s="17" t="n">
        <v>5000</v>
      </c>
      <c r="D48" s="18" t="inlineStr"/>
      <c r="E48" s="41" t="n"/>
    </row>
    <row r="49">
      <c r="A49" s="32" t="inlineStr">
        <is>
          <t>07/09</t>
        </is>
      </c>
      <c r="B49" s="32" t="inlineStr">
        <is>
          <t>Sol Brito</t>
        </is>
      </c>
      <c r="C49" s="17" t="n">
        <v>1000</v>
      </c>
      <c r="D49" s="18" t="inlineStr"/>
      <c r="E49" s="41" t="n"/>
    </row>
    <row r="50">
      <c r="A50" s="32" t="inlineStr">
        <is>
          <t>07/09</t>
        </is>
      </c>
      <c r="B50" s="32" t="inlineStr">
        <is>
          <t>Maria Vizcaíno</t>
        </is>
      </c>
      <c r="C50" s="17" t="n">
        <v>2000</v>
      </c>
      <c r="D50" s="18" t="inlineStr"/>
      <c r="E50" s="41" t="n"/>
    </row>
    <row r="51">
      <c r="A51" s="32" t="inlineStr">
        <is>
          <t>10/09</t>
        </is>
      </c>
      <c r="B51" s="80" t="inlineStr">
        <is>
          <t>Depósito no identificado</t>
        </is>
      </c>
      <c r="C51" s="17" t="n">
        <v>1000</v>
      </c>
      <c r="D51" s="18" t="inlineStr">
        <is>
          <t>⚠ ÚNICA sin identificar: donación real que entró a la cuenta y cuyo autor nunca se pudo ubicar (director, 11-sep)</t>
        </is>
      </c>
      <c r="E51" s="81" t="inlineStr">
        <is>
          <t>⚠</t>
        </is>
      </c>
    </row>
    <row r="52">
      <c r="A52" s="32" t="inlineStr">
        <is>
          <t>10/09</t>
        </is>
      </c>
      <c r="B52" s="32" t="inlineStr">
        <is>
          <t>Johan</t>
        </is>
      </c>
      <c r="C52" s="17" t="n">
        <v>3500</v>
      </c>
      <c r="D52" s="18" t="inlineStr">
        <is>
          <t>Llegó como transferencia sin anunciar y se ubicó: Johan (Joan), confirmado por el director el 11-sep</t>
        </is>
      </c>
      <c r="E52" s="41" t="n"/>
    </row>
    <row r="53">
      <c r="A53" s="60" t="n"/>
      <c r="B53" s="19" t="inlineStr">
        <is>
          <t>TOTAL (= tablero)</t>
        </is>
      </c>
      <c r="C53" s="20" t="n">
        <v>155021</v>
      </c>
    </row>
    <row r="55">
      <c r="B55" s="49" t="inlineStr">
        <is>
          <t>⚠ = requiere una nota en el acta: el depósito de 1,000 del 10/09, cuyo autor nunca se ubicó, y la de Yendry Rincón (1,000), identificada pero sin captura del comprobante. Suman 2,000. Las de Wilfrid y Johan llegaron sin identificar y sí se ubicaron.</t>
        </is>
      </c>
    </row>
    <row r="56">
      <c r="B56" s="6" t="inlineStr">
        <is>
          <t>Jonathan Medina 1,500 (31/08) es el neto del pago de Boris (participante que no asistió) tras devolverle una porción.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C45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44" customWidth="1" min="3" max="3"/>
  </cols>
  <sheetData>
    <row r="1">
      <c r="A1" s="1" t="inlineStr">
        <is>
          <t>DONACIONES EN ESPECIE (bajaron el costo · valoradas a precio de presupuesto)</t>
        </is>
      </c>
    </row>
    <row r="2" ht="30" customHeight="1">
      <c r="A2" s="34" t="inlineStr">
        <is>
          <t>Lo que alguien puso sin que saliera dinero de caja, por área y valorado a precio de presupuesto (no a factura). El reembolso a Priscila resta porque ella recibió 2,000 en efectivo.</t>
        </is>
      </c>
    </row>
    <row r="3">
      <c r="A3" s="65" t="inlineStr">
        <is>
          <t>Guías  —  subtotal 24,950</t>
        </is>
      </c>
      <c r="B3" s="64" t="n"/>
      <c r="C3" s="64" t="n"/>
    </row>
    <row r="4">
      <c r="A4" s="32" t="inlineStr">
        <is>
          <t>Mochilas de colores</t>
        </is>
      </c>
      <c r="B4" s="17" t="n">
        <v>3037</v>
      </c>
      <c r="C4" s="18" t="inlineStr">
        <is>
          <t>Priscila</t>
        </is>
      </c>
    </row>
    <row r="5">
      <c r="A5" s="32" t="inlineStr">
        <is>
          <t>Rosarios</t>
        </is>
      </c>
      <c r="B5" s="17" t="n">
        <v>2429</v>
      </c>
      <c r="C5" s="18" t="inlineStr">
        <is>
          <t>Priscila</t>
        </is>
      </c>
    </row>
    <row r="6">
      <c r="A6" s="32" t="inlineStr">
        <is>
          <t>Courier (Aeropaq)</t>
        </is>
      </c>
      <c r="B6" s="17" t="n">
        <v>800</v>
      </c>
      <c r="C6" s="18" t="inlineStr">
        <is>
          <t>Priscila</t>
        </is>
      </c>
    </row>
    <row r="7">
      <c r="A7" s="32" t="inlineStr">
        <is>
          <t>Alambre de la fe</t>
        </is>
      </c>
      <c r="B7" s="17" t="n">
        <v>1074</v>
      </c>
      <c r="C7" s="18" t="inlineStr">
        <is>
          <t>Priscila</t>
        </is>
      </c>
    </row>
    <row r="8">
      <c r="A8" s="82" t="inlineStr">
        <is>
          <t>Reembolso en efectivo a Priscila (Gastos 21/07)</t>
        </is>
      </c>
      <c r="B8" s="17" t="n">
        <v>-2000</v>
      </c>
      <c r="C8" s="18" t="inlineStr">
        <is>
          <t>ajuste: reduce su donación neta</t>
        </is>
      </c>
    </row>
    <row r="9">
      <c r="A9" s="32" t="inlineStr">
        <is>
          <t>Libretas participantes</t>
        </is>
      </c>
      <c r="B9" s="17" t="n">
        <v>1619</v>
      </c>
      <c r="C9" s="18" t="inlineStr">
        <is>
          <t>Luisa</t>
        </is>
      </c>
    </row>
    <row r="10">
      <c r="A10" s="32" t="inlineStr">
        <is>
          <t>Stickers habitaciones + PG</t>
        </is>
      </c>
      <c r="B10" s="17" t="n">
        <v>1199</v>
      </c>
      <c r="C10" s="18" t="inlineStr">
        <is>
          <t>Luisa</t>
        </is>
      </c>
    </row>
    <row r="11">
      <c r="A11" s="32" t="inlineStr">
        <is>
          <t>Separadores de libros</t>
        </is>
      </c>
      <c r="B11" s="17" t="n">
        <v>750</v>
      </c>
      <c r="C11" s="18" t="inlineStr">
        <is>
          <t>Camila</t>
        </is>
      </c>
    </row>
    <row r="12">
      <c r="A12" s="32" t="inlineStr">
        <is>
          <t>Impresiones diversas</t>
        </is>
      </c>
      <c r="B12" s="17" t="n">
        <v>3600</v>
      </c>
      <c r="C12" s="18" t="inlineStr">
        <is>
          <t>Darianny (distinto de mochilas, pagadas)</t>
        </is>
      </c>
    </row>
    <row r="13">
      <c r="A13" s="32" t="inlineStr">
        <is>
          <t>Forros de pequeños grupos</t>
        </is>
      </c>
      <c r="B13" s="17" t="n">
        <v>7500</v>
      </c>
      <c r="C13" s="18" t="inlineStr">
        <is>
          <t>los guías</t>
        </is>
      </c>
    </row>
    <row r="14">
      <c r="A14" s="32" t="inlineStr">
        <is>
          <t>Peces para los forros</t>
        </is>
      </c>
      <c r="B14" s="17" t="n">
        <v>2000</v>
      </c>
      <c r="C14" s="18" t="inlineStr">
        <is>
          <t>los guías</t>
        </is>
      </c>
    </row>
    <row r="15">
      <c r="A15" s="32" t="inlineStr">
        <is>
          <t>Pañuelos</t>
        </is>
      </c>
      <c r="B15" s="17" t="n">
        <v>1032</v>
      </c>
      <c r="C15" s="18" t="inlineStr">
        <is>
          <t>los guías (propios)</t>
        </is>
      </c>
    </row>
    <row r="16">
      <c r="A16" s="32" t="inlineStr">
        <is>
          <t>Caja de lapiceros (5 cajas)</t>
        </is>
      </c>
      <c r="B16" s="17" t="n">
        <v>650</v>
      </c>
      <c r="C16" s="18" t="inlineStr">
        <is>
          <t>donados (director, 11-sep)</t>
        </is>
      </c>
    </row>
    <row r="17">
      <c r="A17" s="32" t="inlineStr">
        <is>
          <t>Impresión de libretas</t>
        </is>
      </c>
      <c r="B17" s="17" t="n">
        <v>1260</v>
      </c>
      <c r="C17" s="18" t="inlineStr">
        <is>
          <t>los guías (director, 11-sep)</t>
        </is>
      </c>
    </row>
    <row r="19">
      <c r="A19" s="65" t="inlineStr">
        <is>
          <t>Directores  —  subtotal 41,300</t>
        </is>
      </c>
      <c r="B19" s="64" t="n"/>
      <c r="C19" s="64" t="n"/>
    </row>
    <row r="20">
      <c r="A20" s="32" t="inlineStr">
        <is>
          <t>Peces (símbolo, 60 ud)</t>
        </is>
      </c>
      <c r="B20" s="17" t="n">
        <v>36000</v>
      </c>
      <c r="C20" s="18" t="inlineStr">
        <is>
          <t>La Vega</t>
        </is>
      </c>
    </row>
    <row r="21">
      <c r="A21" s="32" t="inlineStr">
        <is>
          <t>Resmas de papel</t>
        </is>
      </c>
      <c r="B21" s="17" t="n">
        <v>800</v>
      </c>
      <c r="C21" s="18" t="inlineStr">
        <is>
          <t>directores · materiales oficina</t>
        </is>
      </c>
    </row>
    <row r="22">
      <c r="A22" s="32" t="inlineStr">
        <is>
          <t>Sobres carta compromiso + lapiceros</t>
        </is>
      </c>
      <c r="B22" s="17" t="n">
        <v>1500</v>
      </c>
      <c r="C22" s="18" t="inlineStr">
        <is>
          <t>directores · materiales oficina</t>
        </is>
      </c>
    </row>
    <row r="23">
      <c r="A23" s="32" t="inlineStr">
        <is>
          <t>Banderín (tela, pintura)</t>
        </is>
      </c>
      <c r="B23" s="17" t="n">
        <v>0</v>
      </c>
      <c r="C23" s="18" t="inlineStr">
        <is>
          <t>Frank (sin valor presupuestado)</t>
        </is>
      </c>
    </row>
    <row r="24">
      <c r="A24" s="32" t="inlineStr">
        <is>
          <t>Insumos de misa (pan y vino) · litúrgico</t>
        </is>
      </c>
      <c r="B24" s="17" t="n">
        <v>3000</v>
      </c>
      <c r="C24" s="18" t="inlineStr">
        <is>
          <t>Jonathan Medina y Fernando Cordero (valorado a ppto)</t>
        </is>
      </c>
    </row>
    <row r="26">
      <c r="A26" s="65" t="inlineStr">
        <is>
          <t>Cocina  —  subtotal 24,893</t>
        </is>
      </c>
      <c r="B26" s="64" t="n"/>
      <c r="C26" s="64" t="n"/>
    </row>
    <row r="27">
      <c r="A27" s="32" t="inlineStr">
        <is>
          <t>Plátanos verdes (200 ud)</t>
        </is>
      </c>
      <c r="B27" s="17" t="n">
        <v>4000</v>
      </c>
      <c r="C27" s="18" t="inlineStr">
        <is>
          <t>Yelaxni Mota</t>
        </is>
      </c>
    </row>
    <row r="28">
      <c r="A28" s="32" t="inlineStr">
        <is>
          <t>Arroz (50 de 70 lb)</t>
        </is>
      </c>
      <c r="B28" s="17" t="n">
        <v>2250</v>
      </c>
      <c r="C28" s="18" t="inlineStr">
        <is>
          <t>Padre Paul</t>
        </is>
      </c>
    </row>
    <row r="29">
      <c r="A29" s="32" t="inlineStr">
        <is>
          <t>Pasta larga (10 de 14 lb)</t>
        </is>
      </c>
      <c r="B29" s="17" t="n">
        <v>650</v>
      </c>
      <c r="C29" s="18" t="inlineStr">
        <is>
          <t>César Iglesia</t>
        </is>
      </c>
    </row>
    <row r="30">
      <c r="A30" s="32" t="inlineStr">
        <is>
          <t>Papel toalla (7 de 10 ud)</t>
        </is>
      </c>
      <c r="B30" s="17" t="n">
        <v>763</v>
      </c>
      <c r="C30" s="18" t="inlineStr">
        <is>
          <t>César Iglesia</t>
        </is>
      </c>
    </row>
    <row r="31">
      <c r="A31" s="32" t="inlineStr">
        <is>
          <t>Papel de baño (2 fardos)</t>
        </is>
      </c>
      <c r="B31" s="17" t="n">
        <v>1600</v>
      </c>
      <c r="C31" s="18" t="inlineStr">
        <is>
          <t>César Iglesia</t>
        </is>
      </c>
    </row>
    <row r="32">
      <c r="A32" s="32" t="inlineStr">
        <is>
          <t>Cloro / desinfectante / jabón / servilletas / detergente</t>
        </is>
      </c>
      <c r="B32" s="17" t="n">
        <v>742</v>
      </c>
      <c r="C32" s="18" t="inlineStr">
        <is>
          <t>César Iglesia</t>
        </is>
      </c>
    </row>
    <row r="33">
      <c r="A33" s="32" t="inlineStr">
        <is>
          <t>Aceite verde, vinagre, papel plástico/aluminio, aceite gde</t>
        </is>
      </c>
      <c r="B33" s="17" t="n">
        <v>4588</v>
      </c>
      <c r="C33" s="18" t="inlineStr">
        <is>
          <t>Bono Olé</t>
        </is>
      </c>
    </row>
    <row r="34">
      <c r="A34" s="32" t="inlineStr">
        <is>
          <t>Decoración (cerrar comedor)</t>
        </is>
      </c>
      <c r="B34" s="17" t="n">
        <v>10300</v>
      </c>
      <c r="C34" s="18" t="inlineStr">
        <is>
          <t>donada</t>
        </is>
      </c>
    </row>
    <row r="36">
      <c r="A36" s="65" t="inlineStr">
        <is>
          <t>Música  —  subtotal 1,262</t>
        </is>
      </c>
      <c r="B36" s="64" t="n"/>
      <c r="C36" s="64" t="n"/>
    </row>
    <row r="37">
      <c r="A37" s="32" t="inlineStr">
        <is>
          <t>Pilas Duracell</t>
        </is>
      </c>
      <c r="B37" s="17" t="n">
        <v>718</v>
      </c>
      <c r="C37" s="18" t="inlineStr">
        <is>
          <t>donadas</t>
        </is>
      </c>
    </row>
    <row r="38">
      <c r="A38" s="32" t="inlineStr">
        <is>
          <t>Chocolate M&amp;M</t>
        </is>
      </c>
      <c r="B38" s="17" t="n">
        <v>469</v>
      </c>
      <c r="C38" s="18" t="inlineStr">
        <is>
          <t>donados</t>
        </is>
      </c>
    </row>
    <row r="39">
      <c r="A39" s="32" t="inlineStr">
        <is>
          <t>Rollo de alambre</t>
        </is>
      </c>
      <c r="B39" s="17" t="n">
        <v>75</v>
      </c>
      <c r="C39" s="18" t="inlineStr">
        <is>
          <t>donado</t>
        </is>
      </c>
    </row>
    <row r="41">
      <c r="A41" s="19" t="inlineStr">
        <is>
          <t>TOTAL DONADO EN ESPECIE</t>
        </is>
      </c>
      <c r="B41" s="20" t="n">
        <v>92405</v>
      </c>
    </row>
    <row r="42">
      <c r="A42" s="10" t="inlineStr">
        <is>
          <t>Cortesías de la casa (no son especie; valor recibido)</t>
        </is>
      </c>
      <c r="B42" s="11" t="n">
        <v>8720</v>
      </c>
      <c r="C42" s="6" t="inlineStr">
        <is>
          <t>8 × 500 del jueves + 2 × 2,360</t>
        </is>
      </c>
    </row>
    <row r="44">
      <c r="A44" s="6" t="inlineStr">
        <is>
          <t>Materiales de oficina costaron realmente 5,306.11 (Cactus 3,140.07 + 726.04 · Medamax 1,440.00 · 03/09), asumidos por los directores. Aquí se valoran a presupuesto (2,300) por instrucción del director.</t>
        </is>
      </c>
    </row>
    <row r="45">
      <c r="A45" s="6" t="inlineStr">
        <is>
          <t>La impresión de libretas (1,260) estaba marcada como donada en la columna equivocada del presupuesto operativo; se sumó por confirmación del director.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56" customWidth="1" min="4" max="4"/>
  </cols>
  <sheetData>
    <row r="1">
      <c r="A1" s="33" t="inlineStr">
        <is>
          <t>PROFONDO (rifa + venta de comida y helados) — liquidación de la comisión y entregas a finanzas</t>
        </is>
      </c>
    </row>
    <row r="2" ht="30" customHeight="1">
      <c r="A2" s="34" t="inlineStr">
        <is>
          <t>Arriba, la liquidación de la comisión (bruto, premios, neto). Abajo, las 8 entregas a finanzas tal como están en el registro. La diferencia entre el neto del informe y lo entregado son ventas de helados posteriores al informe.</t>
        </is>
      </c>
    </row>
    <row r="3">
      <c r="A3" s="7" t="inlineStr">
        <is>
          <t>LIQUIDACIÓN DE LA COMISIÓN</t>
        </is>
      </c>
    </row>
    <row r="4">
      <c r="B4" s="32" t="inlineStr">
        <is>
          <t>Boletas colocadas y pagadas: 680.5 × 200</t>
        </is>
      </c>
      <c r="C4" s="46" t="n">
        <v>136100</v>
      </c>
      <c r="D4" s="18" t="inlineStr">
        <is>
          <t>de 754 boletas colocadas</t>
        </is>
      </c>
    </row>
    <row r="5">
      <c r="B5" s="32" t="inlineStr">
        <is>
          <t>Venta de comida y helados</t>
        </is>
      </c>
      <c r="C5" s="46" t="n">
        <v>18320</v>
      </c>
      <c r="D5" s="18" t="inlineStr"/>
    </row>
    <row r="6">
      <c r="B6" s="83" t="inlineStr">
        <is>
          <t>Ingresos brutos</t>
        </is>
      </c>
      <c r="C6" s="84" t="n">
        <v>154420</v>
      </c>
      <c r="D6" s="18" t="inlineStr"/>
    </row>
    <row r="7">
      <c r="B7" s="32" t="inlineStr">
        <is>
          <t>− Aire acondicionado (premio principal)</t>
        </is>
      </c>
      <c r="C7" s="46" t="n">
        <v>-16900</v>
      </c>
      <c r="D7" s="18" t="inlineStr"/>
    </row>
    <row r="8">
      <c r="B8" s="32" t="inlineStr">
        <is>
          <t>− Abanico de torre (premio secundario)</t>
        </is>
      </c>
      <c r="C8" s="46" t="n">
        <v>-3000</v>
      </c>
      <c r="D8" s="18" t="inlineStr"/>
    </row>
    <row r="9">
      <c r="B9" s="83" t="inlineStr">
        <is>
          <t>Neto del informe</t>
        </is>
      </c>
      <c r="C9" s="84" t="n">
        <v>134520</v>
      </c>
      <c r="D9" s="18" t="inlineStr"/>
    </row>
    <row r="10">
      <c r="B10" s="32" t="inlineStr">
        <is>
          <t>+ Ventas de helados posteriores al informe</t>
        </is>
      </c>
      <c r="C10" s="46" t="n">
        <v>1346.4</v>
      </c>
      <c r="D10" s="18" t="inlineStr">
        <is>
          <t>director, 11-sep</t>
        </is>
      </c>
    </row>
    <row r="11">
      <c r="B11" s="83" t="inlineStr">
        <is>
          <t>Entregado a finanzas</t>
        </is>
      </c>
      <c r="C11" s="84" t="n">
        <v>135866.4</v>
      </c>
      <c r="D11" s="18" t="inlineStr">
        <is>
          <t>coincide con las 8 entregas de abajo</t>
        </is>
      </c>
    </row>
    <row r="12">
      <c r="B12" s="32" t="inlineStr">
        <is>
          <t>Boletas colocadas NO pagadas: 73.5 × 200</t>
        </is>
      </c>
      <c r="C12" s="46" t="n">
        <v>14700</v>
      </c>
      <c r="D12" s="18" t="inlineStr">
        <is>
          <t>colocadas y nunca cobradas; la dirección decidió no cobrarlas</t>
        </is>
      </c>
    </row>
    <row r="14">
      <c r="A14" s="3" t="inlineStr">
        <is>
          <t>ENTREGAS A FINANZAS (registro de tesorería)</t>
        </is>
      </c>
    </row>
    <row r="15">
      <c r="A15" s="35" t="inlineStr">
        <is>
          <t>Fecha</t>
        </is>
      </c>
      <c r="B15" s="35" t="inlineStr">
        <is>
          <t>Concepto</t>
        </is>
      </c>
      <c r="C15" s="35" t="inlineStr">
        <is>
          <t>RD$</t>
        </is>
      </c>
      <c r="D15" s="35" t="inlineStr">
        <is>
          <t>Nota</t>
        </is>
      </c>
    </row>
    <row r="16">
      <c r="A16" s="32" t="inlineStr">
        <is>
          <t>17/08</t>
        </is>
      </c>
      <c r="B16" s="32" t="inlineStr">
        <is>
          <t>Efectivo depositado de profondo a finanzas</t>
        </is>
      </c>
      <c r="C16" s="17" t="n">
        <v>18700</v>
      </c>
      <c r="D16" s="18" t="inlineStr">
        <is>
          <t>Efectivo que manejaba profondo</t>
        </is>
      </c>
    </row>
    <row r="17">
      <c r="A17" s="32" t="inlineStr">
        <is>
          <t>21/08</t>
        </is>
      </c>
      <c r="B17" s="32" t="inlineStr">
        <is>
          <t>Transferencia bancaria de profondo</t>
        </is>
      </c>
      <c r="C17" s="17" t="n">
        <v>26500</v>
      </c>
      <c r="D17" s="18" t="inlineStr">
        <is>
          <t>Cuenta Banreservas</t>
        </is>
      </c>
    </row>
    <row r="18">
      <c r="A18" s="32" t="inlineStr">
        <is>
          <t>22/08</t>
        </is>
      </c>
      <c r="B18" s="32" t="inlineStr">
        <is>
          <t>Efectivo en cuenta Dorian</t>
        </is>
      </c>
      <c r="C18" s="17" t="n">
        <v>71700</v>
      </c>
      <c r="D18" s="18" t="inlineStr">
        <is>
          <t>Venta de boletos</t>
        </is>
      </c>
    </row>
    <row r="19">
      <c r="A19" s="32" t="inlineStr">
        <is>
          <t>23/08</t>
        </is>
      </c>
      <c r="B19" s="32" t="inlineStr">
        <is>
          <t>Devuelta excedente compra abanico</t>
        </is>
      </c>
      <c r="C19" s="17" t="n">
        <v>1400</v>
      </c>
      <c r="D19" s="18" t="inlineStr">
        <is>
          <t>→ indica que el premio (abanico) se pagó con fondos de profondo</t>
        </is>
      </c>
    </row>
    <row r="20">
      <c r="A20" s="32" t="inlineStr">
        <is>
          <t>25/08</t>
        </is>
      </c>
      <c r="B20" s="32" t="inlineStr">
        <is>
          <t>Efectivo profondo</t>
        </is>
      </c>
      <c r="C20" s="17" t="n">
        <v>16966.4</v>
      </c>
      <c r="D20" s="18" t="inlineStr"/>
    </row>
    <row r="21">
      <c r="A21" s="32" t="inlineStr">
        <is>
          <t>25/08</t>
        </is>
      </c>
      <c r="B21" s="32" t="inlineStr">
        <is>
          <t>Boleto de Luis transferido a Banreservas</t>
        </is>
      </c>
      <c r="C21" s="17" t="n">
        <v>400</v>
      </c>
      <c r="D21" s="18" t="inlineStr"/>
    </row>
    <row r="22">
      <c r="A22" s="32" t="inlineStr">
        <is>
          <t>28/08</t>
        </is>
      </c>
      <c r="B22" s="32" t="inlineStr">
        <is>
          <t>Helados</t>
        </is>
      </c>
      <c r="C22" s="17" t="n">
        <v>100</v>
      </c>
      <c r="D22" s="18" t="inlineStr"/>
    </row>
    <row r="23">
      <c r="A23" s="32" t="inlineStr">
        <is>
          <t>01/09</t>
        </is>
      </c>
      <c r="B23" s="32" t="inlineStr">
        <is>
          <t>Más helados</t>
        </is>
      </c>
      <c r="C23" s="17" t="n">
        <v>100</v>
      </c>
      <c r="D23" s="18" t="inlineStr"/>
    </row>
    <row r="24">
      <c r="A24" s="47" t="n"/>
      <c r="B24" s="25" t="inlineStr">
        <is>
          <t>TOTAL ENTREGADO</t>
        </is>
      </c>
      <c r="C24" s="26" t="n">
        <v>135866.4</v>
      </c>
    </row>
    <row r="26">
      <c r="B26" s="6" t="inlineStr">
        <is>
          <t>Los premios (19,900) son costo de recaudar, no del retiro: por eso no entran en "lo que costó el retiro" y ya están descontados del neto entregado.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4" customWidth="1" min="2" max="2"/>
    <col width="18" customWidth="1" min="3" max="3"/>
    <col width="18" customWidth="1" min="4" max="4"/>
    <col width="11" customWidth="1" min="5" max="5"/>
    <col width="60" customWidth="1" min="6" max="6"/>
  </cols>
  <sheetData>
    <row r="1">
      <c r="A1" s="33" t="inlineStr">
        <is>
          <t>AUDITORÍA NUMÉRICA — cada verificación se recalcula al generar el archivo</t>
        </is>
      </c>
    </row>
    <row r="2" ht="30" customHeight="1">
      <c r="A2" s="34" t="inlineStr">
        <is>
          <t>Cada fila compara un valor esperado con el obtenido al recalcular. Cuadra = coinciden; Pendiente = falta un dato, no es error de suma.</t>
        </is>
      </c>
    </row>
    <row r="3">
      <c r="A3" s="35" t="inlineStr">
        <is>
          <t>#</t>
        </is>
      </c>
      <c r="B3" s="35" t="inlineStr">
        <is>
          <t>Verificación</t>
        </is>
      </c>
      <c r="C3" s="35" t="inlineStr">
        <is>
          <t>Esperado</t>
        </is>
      </c>
      <c r="D3" s="35" t="inlineStr">
        <is>
          <t>Obtenido</t>
        </is>
      </c>
      <c r="E3" s="35" t="inlineStr">
        <is>
          <t>Estado</t>
        </is>
      </c>
      <c r="F3" s="35" t="inlineStr">
        <is>
          <t>Nota</t>
        </is>
      </c>
    </row>
    <row r="4">
      <c r="A4" s="85" t="n">
        <v>1</v>
      </c>
      <c r="B4" s="39" t="inlineStr">
        <is>
          <t>Gastos: 22 movimientos del registro (24 filas: el pago a JM abierto en 3) suman las salidas del tablero</t>
        </is>
      </c>
      <c r="C4" s="17" t="n">
        <v>515944</v>
      </c>
      <c r="D4" s="17" t="n">
        <v>515944</v>
      </c>
      <c r="E4" s="86" t="inlineStr">
        <is>
          <t>Cuadra</t>
        </is>
      </c>
      <c r="F4" s="18" t="inlineStr">
        <is>
          <t>24 filas</t>
        </is>
      </c>
    </row>
    <row r="5">
      <c r="A5" s="85" t="n">
        <v>2</v>
      </c>
      <c r="B5" s="39" t="inlineStr">
        <is>
          <t>Pago a JM 37,500 = transporte 17,500 + desvío 10,000 + ofrenda 10,000</t>
        </is>
      </c>
      <c r="C5" s="17" t="n">
        <v>37500</v>
      </c>
      <c r="D5" s="17" t="n">
        <v>37500</v>
      </c>
      <c r="E5" s="86" t="inlineStr">
        <is>
          <t>Cuadra</t>
        </is>
      </c>
      <c r="F5" s="18" t="inlineStr">
        <is>
          <t>desglose del director, 11-sep</t>
        </is>
      </c>
    </row>
    <row r="6">
      <c r="A6" s="85" t="n">
        <v>3</v>
      </c>
      <c r="B6" s="39" t="inlineStr">
        <is>
          <t>Efectivo de imprevistos 15,000 = 5,000 cocina en la casa + 10,000 reembolso del salón</t>
        </is>
      </c>
      <c r="C6" s="17" t="n">
        <v>15000</v>
      </c>
      <c r="D6" s="17" t="n">
        <v>15000</v>
      </c>
      <c r="E6" s="86" t="inlineStr">
        <is>
          <t>Cuadra</t>
        </is>
      </c>
      <c r="F6" s="18" t="inlineStr">
        <is>
          <t>confirmado por el director (11-sep)</t>
        </is>
      </c>
    </row>
    <row r="7">
      <c r="A7" s="85" t="n">
        <v>4</v>
      </c>
      <c r="B7" s="39" t="inlineStr">
        <is>
          <t>Donaciones en efectivo: 49 filas suman el total del tablero</t>
        </is>
      </c>
      <c r="C7" s="17" t="n">
        <v>155021</v>
      </c>
      <c r="D7" s="17" t="n">
        <v>155021</v>
      </c>
      <c r="E7" s="86" t="inlineStr">
        <is>
          <t>Cuadra</t>
        </is>
      </c>
      <c r="F7" s="18" t="inlineStr">
        <is>
          <t>49 filas</t>
        </is>
      </c>
    </row>
    <row r="8">
      <c r="A8" s="85" t="n">
        <v>5</v>
      </c>
      <c r="B8" s="39" t="inlineStr">
        <is>
          <t>Profondo: 8 entregas (rifa + venta de comida y helados), 0 salidas</t>
        </is>
      </c>
      <c r="C8" s="17" t="n">
        <v>135866.4</v>
      </c>
      <c r="D8" s="17" t="n">
        <v>135866.4</v>
      </c>
      <c r="E8" s="86" t="inlineStr">
        <is>
          <t>Cuadra</t>
        </is>
      </c>
      <c r="F8" s="18" t="inlineStr">
        <is>
          <t>venta de helados registrada aparte 200; en neto</t>
        </is>
      </c>
    </row>
    <row r="9">
      <c r="A9" s="85" t="n">
        <v>6</v>
      </c>
      <c r="B9" s="39" t="inlineStr">
        <is>
          <t>Profondo: bruto = boletas pagadas × 200 + comida y helados</t>
        </is>
      </c>
      <c r="C9" s="17" t="n">
        <v>154420</v>
      </c>
      <c r="D9" s="17" t="n">
        <v>154420</v>
      </c>
      <c r="E9" s="86" t="inlineStr">
        <is>
          <t>Cuadra</t>
        </is>
      </c>
      <c r="F9" s="18" t="inlineStr">
        <is>
          <t>liquidación de la comisión</t>
        </is>
      </c>
    </row>
    <row r="10">
      <c r="A10" s="85" t="n">
        <v>7</v>
      </c>
      <c r="B10" s="39" t="inlineStr">
        <is>
          <t>Profondo: bruto − premios = neto del informe</t>
        </is>
      </c>
      <c r="C10" s="17" t="n">
        <v>134520</v>
      </c>
      <c r="D10" s="17" t="n">
        <v>134520</v>
      </c>
      <c r="E10" s="86" t="inlineStr">
        <is>
          <t>Cuadra</t>
        </is>
      </c>
      <c r="F10" s="18" t="inlineStr">
        <is>
          <t>aire acondicionado 16,900 + abanico 3,000</t>
        </is>
      </c>
    </row>
    <row r="11">
      <c r="A11" s="85" t="n">
        <v>8</v>
      </c>
      <c r="B11" s="39" t="inlineStr">
        <is>
          <t>Profondo: entregado a finanzas − neto del informe = ventas posteriores de helados</t>
        </is>
      </c>
      <c r="C11" s="17" t="n">
        <v>1346.4</v>
      </c>
      <c r="D11" s="17" t="n">
        <v>1346.4</v>
      </c>
      <c r="E11" s="86" t="inlineStr">
        <is>
          <t>Cuadra</t>
        </is>
      </c>
      <c r="F11" s="18" t="inlineStr">
        <is>
          <t>director, 11-sep</t>
        </is>
      </c>
    </row>
    <row r="12">
      <c r="A12" s="85" t="n">
        <v>9</v>
      </c>
      <c r="B12" s="39" t="inlineStr">
        <is>
          <t>Entradas = cuotas + tardanzas + donaciones + participantes + profondo</t>
        </is>
      </c>
      <c r="C12" s="17" t="n">
        <v>552487.4</v>
      </c>
      <c r="D12" s="17" t="n">
        <v>552487.4</v>
      </c>
      <c r="E12" s="86" t="inlineStr">
        <is>
          <t>Cuadra</t>
        </is>
      </c>
      <c r="F12" s="18" t="inlineStr"/>
    </row>
    <row r="13">
      <c r="A13" s="85" t="n">
        <v>10</v>
      </c>
      <c r="B13" s="39" t="inlineStr">
        <is>
          <t>Balance = entradas − salidas</t>
        </is>
      </c>
      <c r="C13" s="17" t="n">
        <v>36543.4</v>
      </c>
      <c r="D13" s="17" t="n">
        <v>36543.40000000002</v>
      </c>
      <c r="E13" s="86" t="inlineStr">
        <is>
          <t>Cuadra</t>
        </is>
      </c>
      <c r="F13" s="18" t="inlineStr"/>
    </row>
    <row r="14">
      <c r="A14" s="85" t="n">
        <v>11</v>
      </c>
      <c r="B14" s="39" t="inlineStr">
        <is>
          <t>Balance − real en cuentas = impuesto bancario + copias</t>
        </is>
      </c>
      <c r="C14" s="17" t="n">
        <v>2206.4</v>
      </c>
      <c r="D14" s="17" t="n">
        <v>2206.400000000023</v>
      </c>
      <c r="E14" s="86" t="inlineStr">
        <is>
          <t>Cuadra</t>
        </is>
      </c>
      <c r="F14" s="18" t="inlineStr">
        <is>
          <t>real en cuentas 34,337 (11-sep)</t>
        </is>
      </c>
    </row>
    <row r="15">
      <c r="A15" s="85" t="n">
        <v>12</v>
      </c>
      <c r="B15" s="39" t="inlineStr">
        <is>
          <t>Impuesto bancario + copias = la diferencia con el banco</t>
        </is>
      </c>
      <c r="C15" s="17" t="n">
        <v>2206.400000000023</v>
      </c>
      <c r="D15" s="17" t="n">
        <v>2206.4</v>
      </c>
      <c r="E15" s="86" t="inlineStr">
        <is>
          <t>Cuadra</t>
        </is>
      </c>
      <c r="F15" s="18" t="inlineStr">
        <is>
          <t>0.20% sobre 1,068,431 = 2,136.86 · copias 69.54</t>
        </is>
      </c>
    </row>
    <row r="16">
      <c r="A16" s="85" t="n">
        <v>13</v>
      </c>
      <c r="B16" s="39" t="inlineStr">
        <is>
          <t>Cuotas del equipo = 49 miembros × 2,000</t>
        </is>
      </c>
      <c r="C16" s="17" t="n">
        <v>98000</v>
      </c>
      <c r="D16" s="17" t="n">
        <v>98000</v>
      </c>
      <c r="E16" s="86" t="inlineStr">
        <is>
          <t>Cuadra</t>
        </is>
      </c>
      <c r="F16" s="18" t="inlineStr">
        <is>
          <t>de los 56 del equipo: 3 guías de reserva fuera del conteo y 4 asesores sin cuota. Incluye a quien pagó y no asistió (Mary Carmen)</t>
        </is>
      </c>
    </row>
    <row r="17">
      <c r="A17" s="85" t="n">
        <v>14</v>
      </c>
      <c r="B17" s="39" t="inlineStr">
        <is>
          <t>Participantes: 46 × 3,500 de referencia − lo recibido = lo que cuatro pagaron de menos</t>
        </is>
      </c>
      <c r="C17" s="17" t="n">
        <v>4200</v>
      </c>
      <c r="D17" s="17" t="n">
        <v>4200</v>
      </c>
      <c r="E17" s="86" t="inlineStr">
        <is>
          <t>Cuadra</t>
        </is>
      </c>
      <c r="F17" s="18" t="inlineStr">
        <is>
          <t>no es una deuda: Karen Berroa pagó 2,500, Melany Ceverino 3,300, Karen 1,000 y una de las siete 3,000</t>
        </is>
      </c>
    </row>
    <row r="18">
      <c r="A18" s="85" t="n">
        <v>15</v>
      </c>
      <c r="B18" s="39" t="inlineStr">
        <is>
          <t>Personas en la casa = participantes (48) + equipo</t>
        </is>
      </c>
      <c r="C18" s="17" t="n">
        <v>99</v>
      </c>
      <c r="D18" s="17" t="n">
        <v>99</v>
      </c>
      <c r="E18" s="86" t="inlineStr">
        <is>
          <t>Cuadra</t>
        </is>
      </c>
      <c r="F18" s="18" t="inlineStr">
        <is>
          <t>46 participantes con cuota + Cristofer y Dahiony exonerados; 51 del equipo de los 53 titulares (Mary Carmen no asistió)</t>
        </is>
      </c>
    </row>
    <row r="19">
      <c r="A19" s="85" t="n">
        <v>16</v>
      </c>
      <c r="B19" s="39" t="inlineStr">
        <is>
          <t>Cuota de los 2 participantes exonerados (invitados de la sor)</t>
        </is>
      </c>
      <c r="C19" s="17" t="n">
        <v>7000</v>
      </c>
      <c r="D19" s="17" t="n">
        <v>7000</v>
      </c>
      <c r="E19" s="86" t="inlineStr">
        <is>
          <t>Cuadra</t>
        </is>
      </c>
      <c r="F19" s="18" t="inlineStr">
        <is>
          <t>Cristofer y Dahiony: exoneración prevista, fuera de la meta de recaudación</t>
        </is>
      </c>
    </row>
    <row r="20">
      <c r="A20" s="85" t="n">
        <v>17</v>
      </c>
      <c r="B20" s="39" t="inlineStr">
        <is>
          <t>Lista del director (10-sep): personas distintas = participantes del tablero</t>
        </is>
      </c>
      <c r="C20" s="17" t="n">
        <v>46</v>
      </c>
      <c r="D20" s="17" t="n">
        <v>46</v>
      </c>
      <c r="E20" s="86" t="inlineStr">
        <is>
          <t>Cuadra</t>
        </is>
      </c>
      <c r="F20" s="18" t="inlineStr">
        <is>
          <t>57 líneas de pago → 46 personas (Karen aparte de Karen Berroa)</t>
        </is>
      </c>
    </row>
    <row r="21">
      <c r="A21" s="85" t="n">
        <v>18</v>
      </c>
      <c r="B21" s="39" t="inlineStr">
        <is>
          <t>Pagos a nombre de Amanda Rivera o de Boris dentro de los 156,800</t>
        </is>
      </c>
      <c r="C21" s="17" t="n">
        <v>0</v>
      </c>
      <c r="D21" s="17" t="n">
        <v>0</v>
      </c>
      <c r="E21" s="86" t="inlineStr">
        <is>
          <t>Cuadra</t>
        </is>
      </c>
      <c r="F21" s="18" t="inlineStr">
        <is>
          <t>ninguno: verificado contra la lista del director, el registro de cuotas y las 49 donaciones</t>
        </is>
      </c>
    </row>
    <row r="22">
      <c r="A22" s="85" t="n">
        <v>19</v>
      </c>
      <c r="B22" s="39" t="inlineStr">
        <is>
          <t>Lista del director (10-sep): 132,800 con cifra + 7 sin cifra (6 × 3,500 + 1 × 3,000) = total</t>
        </is>
      </c>
      <c r="C22" s="17" t="n">
        <v>156800</v>
      </c>
      <c r="D22" s="17" t="n">
        <v>156800</v>
      </c>
      <c r="E22" s="86" t="inlineStr">
        <is>
          <t>Cuadra</t>
        </is>
      </c>
      <c r="F22" s="18" t="inlineStr">
        <is>
          <t>confirmado por el director (11-sep)</t>
        </is>
      </c>
    </row>
    <row r="23">
      <c r="A23" s="85" t="n">
        <v>20</v>
      </c>
      <c r="B23" s="39" t="inlineStr">
        <is>
          <t>Casa: 97 × 2,360 + 19 × 500 + habitaciones = avance + final</t>
        </is>
      </c>
      <c r="C23" s="17" t="n">
        <v>240220</v>
      </c>
      <c r="D23" s="17" t="n">
        <v>240220</v>
      </c>
      <c r="E23" s="86" t="inlineStr">
        <is>
          <t>Cuadra</t>
        </is>
      </c>
      <c r="F23" s="18" t="inlineStr">
        <is>
          <t>23,600 + 216,620</t>
        </is>
      </c>
    </row>
    <row r="24">
      <c r="A24" s="85" t="n">
        <v>21</v>
      </c>
      <c r="B24" s="39" t="inlineStr">
        <is>
          <t>Habitaciones pequeños grupos: tarifa inferida × 2 noches</t>
        </is>
      </c>
      <c r="C24" s="17" t="n">
        <v>1800</v>
      </c>
      <c r="D24" s="17" t="n">
        <v>1800</v>
      </c>
      <c r="E24" s="86" t="inlineStr">
        <is>
          <t>Cuadra</t>
        </is>
      </c>
      <c r="F24" s="18" t="inlineStr">
        <is>
          <t>900/noche</t>
        </is>
      </c>
    </row>
    <row r="25">
      <c r="A25" s="85" t="n">
        <v>22</v>
      </c>
      <c r="B25" s="39" t="inlineStr">
        <is>
          <t>Transporte: abono 17,500 + 2ª mitad 17,500 + desvío 10,000 = ppto oficial</t>
        </is>
      </c>
      <c r="C25" s="17" t="n">
        <v>45000</v>
      </c>
      <c r="D25" s="17" t="n">
        <v>45000</v>
      </c>
      <c r="E25" s="86" t="inlineStr">
        <is>
          <t>Cuadra</t>
        </is>
      </c>
      <c r="F25" s="18" t="inlineStr"/>
    </row>
    <row r="26">
      <c r="A26" s="85" t="n">
        <v>23</v>
      </c>
      <c r="B26" s="39" t="inlineStr">
        <is>
          <t>Cruce: pagado por partida = salidas del registro</t>
        </is>
      </c>
      <c r="C26" s="17" t="n">
        <v>515944</v>
      </c>
      <c r="D26" s="17" t="n">
        <v>515944</v>
      </c>
      <c r="E26" s="86" t="inlineStr">
        <is>
          <t>Cuadra</t>
        </is>
      </c>
      <c r="F26" s="18" t="inlineStr">
        <is>
          <t>28 partidas ↔ 22 gastos</t>
        </is>
      </c>
    </row>
    <row r="27">
      <c r="A27" s="85" t="n">
        <v>24</v>
      </c>
      <c r="B27" s="39" t="inlineStr">
        <is>
          <t>Cruce: ppto OFICIAL por partida = total del archivo 11-Ago</t>
        </is>
      </c>
      <c r="C27" s="17" t="n">
        <v>596249.5599999999</v>
      </c>
      <c r="D27" s="17" t="n">
        <v>596249.5599999999</v>
      </c>
      <c r="E27" s="86" t="inlineStr">
        <is>
          <t>Cuadra</t>
        </is>
      </c>
      <c r="F27" s="18" t="inlineStr">
        <is>
          <t>Directores 428,940 + Cocina + Guías + Música</t>
        </is>
      </c>
    </row>
    <row r="28">
      <c r="A28" s="85" t="n">
        <v>25</v>
      </c>
      <c r="B28" s="39" t="inlineStr">
        <is>
          <t>Cruce: ppto Sistem por partida = total del archivo Sistem</t>
        </is>
      </c>
      <c r="C28" s="17" t="n">
        <v>512859.5599999999</v>
      </c>
      <c r="D28" s="17" t="n">
        <v>512859.5599999999</v>
      </c>
      <c r="E28" s="86" t="inlineStr">
        <is>
          <t>Cuadra</t>
        </is>
      </c>
      <c r="F28" s="18" t="inlineStr">
        <is>
          <t>Directores 362,205 + Cocina + Guías + Música</t>
        </is>
      </c>
    </row>
    <row r="29">
      <c r="A29" s="85" t="n">
        <v>26</v>
      </c>
      <c r="B29" s="39" t="inlineStr">
        <is>
          <t>Cruce: cubierto por partida = especie + cortesías de la casa</t>
        </is>
      </c>
      <c r="C29" s="17" t="n">
        <v>101125</v>
      </c>
      <c r="D29" s="17" t="n">
        <v>101125</v>
      </c>
      <c r="E29" s="86" t="inlineStr">
        <is>
          <t>Cuadra</t>
        </is>
      </c>
      <c r="F29" s="18" t="inlineStr"/>
    </row>
    <row r="30">
      <c r="A30" s="85" t="n">
        <v>27</v>
      </c>
      <c r="B30" s="39" t="inlineStr">
        <is>
          <t>Especie Guías = lo marcado como donado en el presupuesto operativo (25,039.36) − reembolso a Priscila 2,000 + lapiceros 650 + impresión de libretas 1,260</t>
        </is>
      </c>
      <c r="C30" s="17" t="n">
        <v>24949.36</v>
      </c>
      <c r="D30" s="17" t="n">
        <v>24950</v>
      </c>
      <c r="E30" s="86" t="inlineStr">
        <is>
          <t>Cuadra</t>
        </is>
      </c>
      <c r="F30" s="18" t="inlineStr">
        <is>
          <t>la impresión de libretas la confirmó el director el 11-sep</t>
        </is>
      </c>
    </row>
    <row r="31">
      <c r="A31" s="85" t="n">
        <v>28</v>
      </c>
      <c r="B31" s="39" t="inlineStr">
        <is>
          <t>Especie Música = lo marcado como donado en el presupuesto operativo (Sistem)</t>
        </is>
      </c>
      <c r="C31" s="17" t="n">
        <v>1261.86</v>
      </c>
      <c r="D31" s="17" t="n">
        <v>1262</v>
      </c>
      <c r="E31" s="86" t="inlineStr">
        <is>
          <t>Cuadra</t>
        </is>
      </c>
      <c r="F31" s="18" t="inlineStr">
        <is>
          <t>redondeo a pesos</t>
        </is>
      </c>
    </row>
    <row r="32">
      <c r="A32" s="85" t="n">
        <v>29</v>
      </c>
      <c r="B32" s="39" t="inlineStr">
        <is>
          <t>Especie Cocina + Directores = confirmaciones del director</t>
        </is>
      </c>
      <c r="C32" s="17" t="n">
        <v>66193</v>
      </c>
      <c r="D32" s="17" t="n">
        <v>66193</v>
      </c>
      <c r="E32" s="86" t="inlineStr">
        <is>
          <t>Cuadra</t>
        </is>
      </c>
      <c r="F32" s="18" t="inlineStr">
        <is>
          <t>el Sistem solo marcaba plátanos (4,000)</t>
        </is>
      </c>
    </row>
    <row r="33">
      <c r="A33" s="85" t="n">
        <v>30</v>
      </c>
      <c r="B33" s="39" t="inlineStr">
        <is>
          <t>Bizcocho de bienvenida = 6,000 (registro 10/09, confirmado por el director)</t>
        </is>
      </c>
      <c r="C33" s="17" t="n">
        <v>6000</v>
      </c>
      <c r="D33" s="17" t="n">
        <v>6000</v>
      </c>
      <c r="E33" s="86" t="inlineStr">
        <is>
          <t>Cuadra</t>
        </is>
      </c>
      <c r="F33" s="18" t="inlineStr">
        <is>
          <t>distinto del bizcocho de la dinámica (ppto 1,500 → helados 1,740)</t>
        </is>
      </c>
    </row>
    <row r="34">
      <c r="A34" s="85" t="n">
        <v>31</v>
      </c>
      <c r="B34" s="39" t="inlineStr">
        <is>
          <t>Cotización Iberia: exento + gravado + ITBIS</t>
        </is>
      </c>
      <c r="C34" s="17" t="n">
        <v>77044.05</v>
      </c>
      <c r="D34" s="17" t="n">
        <v>77044.05</v>
      </c>
      <c r="E34" s="86" t="inlineStr">
        <is>
          <t>Cuadra</t>
        </is>
      </c>
      <c r="F34" s="18" t="inlineStr">
        <is>
          <t>a nombre de Paloma Méndez, 01-sep</t>
        </is>
      </c>
    </row>
    <row r="35">
      <c r="A35" s="85" t="n">
        <v>32</v>
      </c>
      <c r="B35" s="39" t="inlineStr">
        <is>
          <t>Iberia: cotizado − pagado = vino 1,995 + platos foam 540</t>
        </is>
      </c>
      <c r="C35" s="17" t="n">
        <v>2535</v>
      </c>
      <c r="D35" s="17" t="n">
        <v>2535.05</v>
      </c>
      <c r="E35" s="86" t="inlineStr">
        <is>
          <t>Cuadra</t>
        </is>
      </c>
      <c r="F35" s="18" t="inlineStr">
        <is>
          <t>coincidencia; 0.05 de redondeo</t>
        </is>
      </c>
    </row>
    <row r="36">
      <c r="A36" s="85" t="n">
        <v>33</v>
      </c>
      <c r="B36" s="39" t="inlineStr">
        <is>
          <t>Biblias: el pago de 35,360 = 52 × 680 exactos</t>
        </is>
      </c>
      <c r="C36" s="17" t="n">
        <v>35360</v>
      </c>
      <c r="D36" s="17" t="n">
        <v>35360</v>
      </c>
      <c r="E36" s="86" t="inlineStr">
        <is>
          <t>Cuadra</t>
        </is>
      </c>
      <c r="F36" s="18" t="inlineStr">
        <is>
          <t>el presupuesto tenía 50 (34,000); las 2 de más (1,360) son las que iba a pagar Camila</t>
        </is>
      </c>
    </row>
    <row r="37">
      <c r="A37" s="85" t="n">
        <v>34</v>
      </c>
      <c r="B37" s="39" t="inlineStr">
        <is>
          <t>Biblias: donaciones en efectivo etiquetadas "biblia"</t>
        </is>
      </c>
      <c r="C37" s="17" t="n">
        <v>16500</v>
      </c>
      <c r="D37" s="17" t="n">
        <v>16500</v>
      </c>
      <c r="E37" s="86" t="inlineStr">
        <is>
          <t>Cuadra</t>
        </is>
      </c>
      <c r="F37" s="18" t="inlineStr">
        <is>
          <t>Roosbert, Pamela Nivar, Carol, Kharla, Wirna</t>
        </is>
      </c>
    </row>
    <row r="38">
      <c r="A38" s="85" t="n">
        <v>35</v>
      </c>
      <c r="B38" s="39" t="inlineStr">
        <is>
          <t>Donaciones que requieren nota: el depósito sin dueño y la de Yendry sin captura</t>
        </is>
      </c>
      <c r="C38" s="17" t="n">
        <v>2000</v>
      </c>
      <c r="D38" s="17" t="n">
        <v>2000</v>
      </c>
      <c r="E38" s="86" t="inlineStr">
        <is>
          <t>Cuadra</t>
        </is>
      </c>
      <c r="F38" s="18" t="inlineStr">
        <is>
          <t>las de Wilfrid y Johan se ubicaron: ya no llevan nota</t>
        </is>
      </c>
    </row>
    <row r="39">
      <c r="A39" s="85" t="n">
        <v>36</v>
      </c>
      <c r="B39" s="39" t="inlineStr">
        <is>
          <t>Costo del retiro = caja + especie + cortesías (8 × 500 + 2 × 2,360)</t>
        </is>
      </c>
      <c r="C39" s="17" t="n">
        <v>617069</v>
      </c>
      <c r="D39" s="17" t="n">
        <v>617069</v>
      </c>
      <c r="E39" s="86" t="inlineStr">
        <is>
          <t>Cuadra</t>
        </is>
      </c>
      <c r="F39" s="18" t="inlineStr"/>
    </row>
    <row r="40">
      <c r="A40" s="85" t="n">
        <v>37</v>
      </c>
      <c r="B40" s="39" t="inlineStr">
        <is>
          <t>Apoyo total donado = efectivo + especie</t>
        </is>
      </c>
      <c r="C40" s="17" t="n">
        <v>247426</v>
      </c>
      <c r="D40" s="17" t="n">
        <v>247426</v>
      </c>
      <c r="E40" s="86" t="inlineStr">
        <is>
          <t>Cuadra</t>
        </is>
      </c>
      <c r="F40" s="18" t="inlineStr"/>
    </row>
    <row r="42">
      <c r="B42" s="8" t="inlineStr">
        <is>
          <t>37 de 37 verificaciones cuadran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888888"/>
    <outlinePr summaryBelow="1" summaryRight="1"/>
    <pageSetUpPr fitToPage="1"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87" t="inlineStr">
        <is>
          <t>FUENTES Y MÉTODO — de dónde sale cada número</t>
        </is>
      </c>
    </row>
    <row r="2" ht="30" customHeight="1">
      <c r="A2" s="34" t="inlineStr">
        <is>
          <t>De dónde sale cada número (fuentes) y las reglas con las que se construyó el archivo (método).</t>
        </is>
      </c>
    </row>
    <row r="3">
      <c r="A3" s="3" t="inlineStr">
        <is>
          <t>FUENTES</t>
        </is>
      </c>
    </row>
    <row r="4">
      <c r="A4" s="88" t="inlineStr">
        <is>
          <t>Registro de tesorería (tablero de finanzas)</t>
        </is>
      </c>
      <c r="B4" s="66" t="inlineStr">
        <is>
          <t>financetc88.streamlit.app · gastos (22), donaciones (49), entregas del profondo (8), extraídos por el director el 11-sep-2026. Cuadran al peso con los totales del tablero.</t>
        </is>
      </c>
    </row>
    <row r="5">
      <c r="A5" s="88" t="inlineStr">
        <is>
          <t>Totales del tablero</t>
        </is>
      </c>
      <c r="B5" s="66" t="inlineStr">
        <is>
          <t>Cuotas 98,000 · tardanzas 6,800 · participantes 156,800 de 161,000 · balance 36,543.40.</t>
        </is>
      </c>
    </row>
    <row r="6">
      <c r="A6" s="88" t="inlineStr">
        <is>
          <t>Estado de cuenta</t>
        </is>
      </c>
      <c r="B6" s="66" t="inlineStr">
        <is>
          <t>34,337 en cuentas al 11-sep (director).</t>
        </is>
      </c>
    </row>
    <row r="7">
      <c r="A7" s="88" t="inlineStr">
        <is>
          <t>Presupuesto OFICIAL (11-Ago)</t>
        </is>
      </c>
      <c r="B7" s="66" t="inlineStr">
        <is>
          <t>Finanzas ETC 88 · Presupuesto General Actualizado 11-Aug.xlsx: Directores 428,940 + Cocina 132,639.84 + Guías 24,157.86 + Música 10,511.86 = 596,249.56. Declarado oficial por el director el 11-sep.</t>
        </is>
      </c>
    </row>
    <row r="8">
      <c r="A8" s="88" t="inlineStr">
        <is>
          <t>Presupuesto Sistem</t>
        </is>
      </c>
      <c r="B8" s="66" t="inlineStr">
        <is>
          <t>Sistem-Finanzas ETC 88 (hoja que alimenta el tablero): 512,859.56. Referencia operativa.</t>
        </is>
      </c>
    </row>
    <row r="9">
      <c r="A9" s="88" t="inlineStr">
        <is>
          <t>Liquidación del profondo</t>
        </is>
      </c>
      <c r="B9" s="66" t="inlineStr">
        <is>
          <t>Desglose_Ganancias_Actividad_Pro_Fondo.xlsx (comisión): 680.5 boletas pagadas × 200 = 136,100 + comida y helados 18,320 = 154,420; premios 19,900; neto 134,520; boletas no pagadas 14,700.</t>
        </is>
      </c>
    </row>
    <row r="10">
      <c r="A10" s="88" t="inlineStr">
        <is>
          <t>Cotización de comida</t>
        </is>
      </c>
      <c r="B10" s="66" t="inlineStr">
        <is>
          <t>Iberia, cotización VCT-072932 a nombre de Paloma Méndez, 01-sep-2026: 77,044.05.</t>
        </is>
      </c>
    </row>
    <row r="11">
      <c r="A11" s="88" t="inlineStr">
        <is>
          <t>Listas del director (10-sep)</t>
        </is>
      </c>
      <c r="B11" s="66" t="inlineStr">
        <is>
          <t>Mensaje con 47 donaciones, 57 líneas de pagos de participantes (46 personas) y 20 salidas.</t>
        </is>
      </c>
    </row>
    <row r="12">
      <c r="A12" s="88" t="inlineStr">
        <is>
          <t>Presupuesto Maestro (14-jun)</t>
        </is>
      </c>
      <c r="B12" s="66" t="inlineStr">
        <is>
          <t>Presupuesto Maestro del 14 de junio, hoja de caja: reserva 23,600 (07-jun, devuelta) y salón 10,000 pagado en efectivo a Franklin Pozo con aporte personal de Juan Manuel (reembolsado después).</t>
        </is>
      </c>
    </row>
    <row r="13">
      <c r="A13" s="88" t="inlineStr">
        <is>
          <t>Aclaraciones del director</t>
        </is>
      </c>
      <c r="B13" s="66" t="inlineStr">
        <is>
          <t>10 y 11 de septiembre: casa, desglose del pago a JM, ofrenda, donaciones fantasma, oficina, Paloma, insumos de misa, Santa Clara, bizcocho y helados, lapiceros, asistencia, efectivo de cocina, cuotas (participante 3,500 · equipo 2,000).</t>
        </is>
      </c>
    </row>
    <row r="15">
      <c r="A15" s="7" t="inlineStr">
        <is>
          <t>REGLAS DEL MÉTODO</t>
        </is>
      </c>
    </row>
    <row r="16">
      <c r="A16" s="88" t="inlineStr">
        <is>
          <t>Nada inventado</t>
        </is>
      </c>
      <c r="B16" s="66" t="inlineStr">
        <is>
          <t>Cada cifra viene de una fuente de arriba o de una confirmación del director. Lo no confirmado se marca [POR CONFIRMAR]; las sugerencias, [PROPUESTA].</t>
        </is>
      </c>
    </row>
    <row r="17">
      <c r="A17" s="88" t="inlineStr">
        <is>
          <t>Especie</t>
        </is>
      </c>
      <c r="B17" s="66" t="inlineStr">
        <is>
          <t>Las donaciones en especie se valoran al precio del presupuesto, no a factura. Oficina: costo real 5,306.11 solo informativo (instrucción del director).</t>
        </is>
      </c>
    </row>
    <row r="18">
      <c r="A18" s="88" t="inlineStr">
        <is>
          <t>Cortesías</t>
        </is>
      </c>
      <c r="B18" s="66" t="inlineStr">
        <is>
          <t>Lo que la casa no cobró (8 × 500 del jueves, 2 × 2,360) cuenta como cubierto sin pagar, no como especie.</t>
        </is>
      </c>
    </row>
    <row r="19">
      <c r="A19" s="88" t="inlineStr">
        <is>
          <t>Lo que costó el retiro</t>
        </is>
      </c>
      <c r="B19" s="66" t="inlineStr">
        <is>
          <t>caja + especie + cortesías. Los premios del profondo son costo de recaudar y no entran.</t>
        </is>
      </c>
    </row>
    <row r="20">
      <c r="A20" s="88" t="inlineStr">
        <is>
          <t>Pago a JM 37,500</t>
        </is>
      </c>
      <c r="B20" s="66" t="inlineStr">
        <is>
          <t>Se muestra desglosado según el director (17,500 + 10,000 + 10,000); en el registro es una sola línea.</t>
        </is>
      </c>
    </row>
    <row r="21">
      <c r="A21" s="88" t="inlineStr">
        <is>
          <t>Efectivo de imprevistos 15,000</t>
        </is>
      </c>
      <c r="B21" s="66" t="inlineStr">
        <is>
          <t>5,000 a cocina en la casa + 10,000 reembolso del salón de formaciones. Liquidado completo.</t>
        </is>
      </c>
    </row>
    <row r="22">
      <c r="A22" s="88" t="inlineStr">
        <is>
          <t>Habitaciones</t>
        </is>
      </c>
      <c r="B22" s="66" t="inlineStr">
        <is>
          <t>Tarifa inferida de lo pagado: 900/noche × 2 noches = 1,800.</t>
        </is>
      </c>
    </row>
    <row r="23">
      <c r="A23" s="88" t="inlineStr">
        <is>
          <t>Profondo</t>
        </is>
      </c>
      <c r="B23" s="66" t="inlineStr">
        <is>
          <t>Entradas en neto, como las entregó la comisión; la liquidación en bruto está en la hoja 10.</t>
        </is>
      </c>
    </row>
    <row r="24">
      <c r="A24" s="88" t="inlineStr">
        <is>
          <t>Personas</t>
        </is>
      </c>
      <c r="B24" s="66" t="inlineStr">
        <is>
          <t>99 en la casa (97 facturadas + 2 cortesía) para todo cálculo por persona.</t>
        </is>
      </c>
    </row>
    <row r="25">
      <c r="A25" s="88" t="inlineStr">
        <is>
          <t>Cómo se hizo este archivo</t>
        </is>
      </c>
      <c r="B25" s="66" t="inlineStr">
        <is>
          <t>Se genera automáticamente a partir de los registros y de las confirmaciones del director; no se edita a mano: se corrige el dato y se vuelve a generar. Los totales se verifican antes de escribirse.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888888"/>
    <outlinePr summaryBelow="1" summaryRight="1"/>
    <pageSetUpPr fitToPage="1"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10" customWidth="1" min="3" max="3"/>
  </cols>
  <sheetData>
    <row r="1">
      <c r="A1" s="87" t="inlineStr">
        <is>
          <t>NOTAS POR PARTIDA — de dónde sale cada número de la hoja 2</t>
        </is>
      </c>
    </row>
    <row r="2" ht="30" customHeight="1">
      <c r="A2" s="34" t="inlineStr">
        <is>
          <t>La explicación de cada partida del presupuesto: fecha y forma de pago, quién donó, y qué queda por confirmar.</t>
        </is>
      </c>
    </row>
    <row r="3">
      <c r="A3" s="79" t="inlineStr">
        <is>
          <t>Área</t>
        </is>
      </c>
      <c r="B3" s="79" t="inlineStr">
        <is>
          <t>Partida</t>
        </is>
      </c>
      <c r="C3" s="79" t="inlineStr">
        <is>
          <t>Nota</t>
        </is>
      </c>
    </row>
    <row r="4">
      <c r="A4" s="56" t="inlineStr">
        <is>
          <t>Casa</t>
        </is>
      </c>
      <c r="B4" s="39" t="inlineStr">
        <is>
          <t>Hospedaje base: 97 pers × 2,360 (vie–dom)</t>
        </is>
      </c>
      <c r="C4" s="39" t="inlineStr">
        <is>
          <t>Fuimos 99, facturadas 97. Avance 23,600 (07-jun; repuesto al Consejo 10/09) + pago final 216,620 (10/09)</t>
        </is>
      </c>
    </row>
    <row r="5">
      <c r="A5" s="56" t="inlineStr">
        <is>
          <t>Casa</t>
        </is>
      </c>
      <c r="B5" s="39" t="inlineStr">
        <is>
          <t>Cortesía de la casa: 2 pers vie–dom sin cobro (el padre y la sor)</t>
        </is>
      </c>
      <c r="C5" s="39" t="inlineStr">
        <is>
          <t>2 × 2,360. El director cedió su cortesía a la sor</t>
        </is>
      </c>
    </row>
    <row r="6">
      <c r="A6" s="56" t="inlineStr">
        <is>
          <t>Casa</t>
        </is>
      </c>
      <c r="B6" s="39" t="inlineStr">
        <is>
          <t>Noche del jueves (avanzada): 19 pers × 500</t>
        </is>
      </c>
      <c r="C6" s="39" t="inlineStr">
        <is>
          <t>Llegamos jueves, no viernes. 27 personas: 19 pagaron 500, 8 sin cobro</t>
        </is>
      </c>
    </row>
    <row r="7">
      <c r="A7" s="56" t="inlineStr">
        <is>
          <t>Casa</t>
        </is>
      </c>
      <c r="B7" s="39" t="inlineStr">
        <is>
          <t>Cortesía de la casa: 8 pers del jueves sin cobro</t>
        </is>
      </c>
      <c r="C7" s="39" t="inlineStr">
        <is>
          <t>8 × 500</t>
        </is>
      </c>
    </row>
    <row r="8">
      <c r="A8" s="56" t="inlineStr">
        <is>
          <t>Casa</t>
        </is>
      </c>
      <c r="B8" s="39" t="inlineStr">
        <is>
          <t>Habitaciones para pequeños grupos (2 noches)</t>
        </is>
      </c>
      <c r="C8" s="39" t="inlineStr">
        <is>
          <t>Tarifa inferida: 900/noche × 2 noches = 1,800 (240,220 − 228,920 − 9,500)</t>
        </is>
      </c>
    </row>
    <row r="9">
      <c r="A9" s="56" t="inlineStr">
        <is>
          <t>Casa</t>
        </is>
      </c>
      <c r="B9" s="39" t="inlineStr">
        <is>
          <t>Comida de avanzada del jueves (comunidad/cena)</t>
        </is>
      </c>
      <c r="C9" s="39" t="inlineStr">
        <is>
          <t>Sin gasto propio: salió de la compra Iberia y de los detalles de cocina</t>
        </is>
      </c>
    </row>
    <row r="10">
      <c r="A10" s="56" t="inlineStr">
        <is>
          <t>Transporte</t>
        </is>
      </c>
      <c r="B10" s="39" t="inlineStr">
        <is>
          <t>Autobuses ida/vuelta</t>
        </is>
      </c>
      <c r="C10" s="39" t="inlineStr">
        <is>
          <t>Abono 17,500 (01/09) + 2ª mitad 17,500 (guagua 1: 10,000 + guagua 2: 7,500) dentro del pago a JM (10/09)</t>
        </is>
      </c>
    </row>
    <row r="11">
      <c r="A11" s="56" t="inlineStr">
        <is>
          <t>Transporte</t>
        </is>
      </c>
      <c r="B11" s="39" t="inlineStr">
        <is>
          <t>Desvío del transporte</t>
        </is>
      </c>
      <c r="C11" s="39" t="inlineStr">
        <is>
          <t>Dentro del pago a JM (10/09). No presupuestado. Buses + desvío = 45,000 = ppto oficial</t>
        </is>
      </c>
    </row>
    <row r="12">
      <c r="A12" s="56" t="inlineStr">
        <is>
          <t>Materiales</t>
        </is>
      </c>
      <c r="B12" s="39" t="inlineStr">
        <is>
          <t>Biblias (52 × 680)</t>
        </is>
      </c>
      <c r="C12" s="39" t="inlineStr">
        <is>
          <t>Se pidieron 52 y el grupo pagó las 52: 52 × 680 = 35,360 exactos (reembolso a JM, 19/08). El presupuesto oficial solo contemplaba 50 (34,000) porque 2 las pagaría Camila; esas 2 (1,360) quedaron dentro de lo que pagó el grupo. Financiadas en parte por 16,500 de donaciones en efectivo etiquetadas "biblia"</t>
        </is>
      </c>
    </row>
    <row r="13">
      <c r="A13" s="56" t="inlineStr">
        <is>
          <t>Materiales</t>
        </is>
      </c>
      <c r="B13" s="39" t="inlineStr">
        <is>
          <t>Peces ICTUS (60)</t>
        </is>
      </c>
      <c r="C13" s="39" t="inlineStr">
        <is>
          <t>DONADOS por La Vega. El Sistem solo presupuestó el envío (5,000); sin gasto</t>
        </is>
      </c>
    </row>
    <row r="14">
      <c r="A14" s="56" t="inlineStr">
        <is>
          <t>Materiales</t>
        </is>
      </c>
      <c r="B14" s="39" t="inlineStr">
        <is>
          <t>Materiales de oficina (resmas, sobres, lapiceros)</t>
        </is>
      </c>
      <c r="C14" s="39" t="inlineStr">
        <is>
          <t>DONADOS por los directores (costo real 5,306.11 asumido por ellos; se valora a ppto)</t>
        </is>
      </c>
    </row>
    <row r="15">
      <c r="A15" s="56" t="inlineStr">
        <is>
          <t>Materiales</t>
        </is>
      </c>
      <c r="B15" s="39" t="inlineStr">
        <is>
          <t>Cajas / entrega de palancas</t>
        </is>
      </c>
      <c r="C15" s="39" t="inlineStr">
        <is>
          <t>Pagado 28/08</t>
        </is>
      </c>
    </row>
    <row r="16">
      <c r="A16" s="56" t="inlineStr">
        <is>
          <t>Materiales</t>
        </is>
      </c>
      <c r="B16" s="39" t="inlineStr">
        <is>
          <t>Banderín</t>
        </is>
      </c>
      <c r="C16" s="39" t="inlineStr">
        <is>
          <t>DONADO por Frank (presupuestado en 0)</t>
        </is>
      </c>
    </row>
    <row r="17">
      <c r="A17" s="56" t="inlineStr">
        <is>
          <t>Materiales</t>
        </is>
      </c>
      <c r="B17" s="39" t="inlineStr">
        <is>
          <t>Decoración plenario / comedor</t>
        </is>
      </c>
      <c r="C17" s="39" t="inlineStr">
        <is>
          <t>DONADA. Presupuestada dentro de Cocina ("cerrar comedor"); aquí se saca de esa fila para no duplicar</t>
        </is>
      </c>
    </row>
    <row r="18">
      <c r="A18" s="56" t="inlineStr">
        <is>
          <t>Litúrgico</t>
        </is>
      </c>
      <c r="B18" s="39" t="inlineStr">
        <is>
          <t>Ofrendas sacerdotes (confesiones)</t>
        </is>
      </c>
      <c r="C18" s="39" t="inlineStr">
        <is>
          <t>P. Héctor 10,000 dentro del pago a JM (10/09). Ppto 4 × 3,000</t>
        </is>
      </c>
    </row>
    <row r="19">
      <c r="A19" s="56" t="inlineStr">
        <is>
          <t>Litúrgico</t>
        </is>
      </c>
      <c r="B19" s="39" t="inlineStr">
        <is>
          <t>Insumos de misa (pan y vino)</t>
        </is>
      </c>
      <c r="C19" s="39" t="inlineStr">
        <is>
          <t>DONADOS por Jonathan Medina y Fernando Cordero (valorado a ppto). Iberia: cotizado − pagado = 2,535.05 = vino 1,995 + platos foam 540 → el vino no se compró en Iberia</t>
        </is>
      </c>
    </row>
    <row r="20">
      <c r="A20" s="56" t="inlineStr">
        <is>
          <t>Formación</t>
        </is>
      </c>
      <c r="B20" s="39" t="inlineStr">
        <is>
          <t>Formaciones: local Sta. Clara (5 × 2,000)</t>
        </is>
      </c>
      <c r="C20" s="39" t="inlineStr">
        <is>
          <t>Pagadas el 07-jun en efectivo (Franklin Pozo) con aporte personal de Juan Manuel; el reembolso salió de los 10,000 restantes del efectivo de imprevistos (15,000 = 5,000 cocina + 10,000 salón). Confirmado 11-sep</t>
        </is>
      </c>
    </row>
    <row r="21">
      <c r="A21" s="56" t="inlineStr">
        <is>
          <t>Formación</t>
        </is>
      </c>
      <c r="B21" s="39" t="inlineStr">
        <is>
          <t>Formaciones: merienda F3</t>
        </is>
      </c>
      <c r="C21" s="39" t="inlineStr">
        <is>
          <t>Pagado 05/07 · cubierto por la donación "Mamá de Juan Manuel" 5,000</t>
        </is>
      </c>
    </row>
    <row r="22">
      <c r="A22" s="56" t="inlineStr">
        <is>
          <t>Formación</t>
        </is>
      </c>
      <c r="B22" s="39" t="inlineStr">
        <is>
          <t>Convivencia: merienda</t>
        </is>
      </c>
      <c r="C22" s="39" t="inlineStr">
        <is>
          <t>Pagado 16/08</t>
        </is>
      </c>
    </row>
    <row r="23">
      <c r="A23" s="56" t="inlineStr">
        <is>
          <t>Formación</t>
        </is>
      </c>
      <c r="B23" s="39" t="inlineStr">
        <is>
          <t>Ensayo general: Sta. Clara, reunión extraordinaria</t>
        </is>
      </c>
      <c r="C23" s="39" t="inlineStr">
        <is>
          <t>Pagado 19/08. Contemplado en el Sistem (3,000); no en el oficial</t>
        </is>
      </c>
    </row>
    <row r="24">
      <c r="A24" s="56" t="inlineStr">
        <is>
          <t>Formación</t>
        </is>
      </c>
      <c r="B24" s="39" t="inlineStr">
        <is>
          <t>Ensayo general: almuerzo 53 pers</t>
        </is>
      </c>
      <c r="C24" s="39" t="inlineStr">
        <is>
          <t>Pagado 10/09 (a JC). Ppto 53 × 280</t>
        </is>
      </c>
    </row>
    <row r="25">
      <c r="A25" s="56" t="inlineStr">
        <is>
          <t>Equipo</t>
        </is>
      </c>
      <c r="B25" s="39" t="inlineStr">
        <is>
          <t>Camisetas del equipo (60)</t>
        </is>
      </c>
      <c r="C25" s="39" t="inlineStr">
        <is>
          <t>50% 16/08 + 50% 21/08. Ppto 60 × 480</t>
        </is>
      </c>
    </row>
    <row r="26">
      <c r="A26" s="56" t="inlineStr">
        <is>
          <t>Guías</t>
        </is>
      </c>
      <c r="B26" s="39" t="inlineStr">
        <is>
          <t>Materiales de guías (mochilas, rosarios, forros, libretas, lapiceros…)</t>
        </is>
      </c>
      <c r="C26" s="39" t="inlineStr">
        <is>
          <t>Pagado: courier 2,120 + impresión mochilas 3,600 + efectivo a Priscila 2,000. Cubierto: Pri, Luisa, Camila, Darianny, los guías, lapiceros (neto de los 2,000 a Pri)</t>
        </is>
      </c>
    </row>
    <row r="27">
      <c r="A27" s="56" t="inlineStr">
        <is>
          <t>Música</t>
        </is>
      </c>
      <c r="B27" s="39" t="inlineStr">
        <is>
          <t>Llaveros + insumos</t>
        </is>
      </c>
      <c r="C27" s="39" t="inlineStr">
        <is>
          <t>Llaveros 4,500 × 2. Cubierto: pilas, M&amp;M, alambre</t>
        </is>
      </c>
    </row>
    <row r="28">
      <c r="A28" s="56" t="inlineStr">
        <is>
          <t>Cocina</t>
        </is>
      </c>
      <c r="B28" s="39" t="inlineStr">
        <is>
          <t>Compra de comida (Iberia) + detalles y combustible</t>
        </is>
      </c>
      <c r="C28" s="39" t="inlineStr">
        <is>
          <t>Ppto de Cocina sin decoración (10,300) ni bizcocho de la dinámica (1,500). Iberia 74,509 (cotización 77,044.05 a nombre de Paloma) + detalles y combustible pagados a Paloma 15,980 (sin desglose). Cubierto: Yelaxni, P. Paul, César Iglesia, Bono Olé</t>
        </is>
      </c>
    </row>
    <row r="29">
      <c r="A29" s="56" t="inlineStr">
        <is>
          <t>Cocina</t>
        </is>
      </c>
      <c r="B29" s="39" t="inlineStr">
        <is>
          <t>Efectivo entregado a cocina en la casa de retiro</t>
        </is>
      </c>
      <c r="C29" s="39" t="inlineStr">
        <is>
          <t>Del efectivo de imprevistos de 15,000 (07/09): 5,000 a cocina en la casa (director, 11-sep)</t>
        </is>
      </c>
    </row>
    <row r="30">
      <c r="A30" s="56" t="inlineStr">
        <is>
          <t>Eventos</t>
        </is>
      </c>
      <c r="B30" s="39" t="inlineStr">
        <is>
          <t>Premio de la dinámica: helados (sustituyó al bizcocho de Cocina)</t>
        </is>
      </c>
      <c r="C30" s="39" t="inlineStr">
        <is>
          <t>Pagado 07/09. El ppto tenía un bizcocho de 1,500 para la dinámica; se cambió por helados</t>
        </is>
      </c>
    </row>
    <row r="31">
      <c r="A31" s="56" t="inlineStr">
        <is>
          <t>Eventos</t>
        </is>
      </c>
      <c r="B31" s="39" t="inlineStr">
        <is>
          <t>Bizcocho de bienvenida post-ETC</t>
        </is>
      </c>
      <c r="C31" s="39" t="inlineStr">
        <is>
          <t>Pagado 10/09, confirmado 6,000. No presupuestado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2026-09-11T16:22:18Z</dcterms:created>
  <dcterms:modified xmlns:dcterms="http://purl.org/dc/terms/" xmlns:xsi="http://www.w3.org/2001/XMLSchema-instance" xsi:type="dcterms:W3CDTF">2026-09-11T16:22:18Z</dcterms:modified>
</cp:coreProperties>
</file>