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LÉEME" sheetId="1" state="visible" r:id="rId1"/>
    <sheet xmlns:r="http://schemas.openxmlformats.org/officeDocument/2006/relationships" name="01 · LADO A Costos" sheetId="2" state="visible" r:id="rId2"/>
    <sheet xmlns:r="http://schemas.openxmlformats.org/officeDocument/2006/relationships" name="02 · LADO B Recaudación" sheetId="3" state="visible" r:id="rId3"/>
    <sheet xmlns:r="http://schemas.openxmlformats.org/officeDocument/2006/relationships" name="03 · Calendario" sheetId="4" state="visible" r:id="rId4"/>
    <sheet xmlns:r="http://schemas.openxmlformats.org/officeDocument/2006/relationships" name="04 · Caja" sheetId="5" state="visible" r:id="rId5"/>
    <sheet xmlns:r="http://schemas.openxmlformats.org/officeDocument/2006/relationships" name="05 · Benchmarks" sheetId="6" state="visible" r:id="rId6"/>
    <sheet xmlns:r="http://schemas.openxmlformats.org/officeDocument/2006/relationships" name="06 · Cuotas" sheetId="7" state="visible" r:id="rId7"/>
  </sheets>
  <definedNames>
    <definedName name="_xlnm._FilterDatabase" localSheetId="1" hidden="1">'01 · LADO A Costos'!$A$4:$L$74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D$&quot;#,##0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9"/>
    </font>
    <font>
      <b val="1"/>
      <color rgb="00FFFFFF"/>
      <sz val="11"/>
    </font>
    <font>
      <b val="1"/>
      <color rgb="001F4E78"/>
      <sz val="12"/>
    </font>
    <font>
      <b val="1"/>
      <sz val="11"/>
    </font>
    <font>
      <b val="1"/>
      <sz val="12"/>
    </font>
    <font>
      <b val="1"/>
      <color rgb="001F4E78"/>
      <sz val="11"/>
    </font>
    <font>
      <b val="1"/>
      <color rgb="00C00000"/>
      <sz val="11"/>
    </font>
    <font>
      <b val="1"/>
      <color rgb="00FFFFFF"/>
      <sz val="16"/>
    </font>
    <font>
      <b val="1"/>
      <color rgb="00595959"/>
      <sz val="9"/>
    </font>
    <font>
      <b val="1"/>
      <color rgb="001F4E78"/>
      <sz val="16"/>
    </font>
    <font>
      <b val="1"/>
      <color rgb="00C00000"/>
      <sz val="12"/>
    </font>
    <font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3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" fontId="11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6" fillId="6" borderId="1" pivotButton="0" quotePrefix="0" xfId="0"/>
    <xf numFmtId="164" fontId="6" fillId="6" borderId="1" applyAlignment="1" pivotButton="0" quotePrefix="0" xfId="0">
      <alignment horizontal="right" vertical="center"/>
    </xf>
    <xf numFmtId="165" fontId="0" fillId="6" borderId="1" pivotButton="0" quotePrefix="0" xfId="0"/>
    <xf numFmtId="0" fontId="12" fillId="0" borderId="0" pivotButton="0" quotePrefix="0" xfId="0"/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5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5" fillId="5" borderId="1" pivotButton="0" quotePrefix="0" xfId="0"/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6" fillId="3" borderId="1" pivotButton="0" quotePrefix="0" xfId="0"/>
    <xf numFmtId="0" fontId="0" fillId="3" borderId="1" pivotButton="0" quotePrefix="0" xfId="0"/>
    <xf numFmtId="164" fontId="6" fillId="3" borderId="1" applyAlignment="1" pivotButton="0" quotePrefix="0" xfId="0">
      <alignment horizontal="right" vertical="center"/>
    </xf>
    <xf numFmtId="0" fontId="5" fillId="4" borderId="1" pivotButton="0" quotePrefix="0" xfId="0"/>
    <xf numFmtId="0" fontId="0" fillId="4" borderId="1" pivotButton="0" quotePrefix="0" xfId="0"/>
    <xf numFmtId="164" fontId="5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13" fillId="0" borderId="0" pivotButton="0" quotePrefix="0" xfId="0"/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  <col width="26" customWidth="1" min="5" max="5"/>
    <col width="18" customWidth="1" min="6" max="6"/>
  </cols>
  <sheetData>
    <row r="1" ht="28" customHeight="1">
      <c r="A1" s="1" t="inlineStr">
        <is>
          <t>ETC 88 · PRESUPUESTO MAESTRO — TABLERO</t>
        </is>
      </c>
    </row>
    <row r="2">
      <c r="A2" s="2" t="inlineStr">
        <is>
          <t>Retiro 4–6 sep 2026 · Casa La Ceiba del Salado, Higüey · 100 pers. base (50 part. + 50 equipo cubierto; 53 equipo total con 3 asesores externos) · Co-Dir. Juan Manuel</t>
        </is>
      </c>
    </row>
    <row r="4">
      <c r="A4" s="3" t="inlineStr">
        <is>
          <t>INDICADORES CLAVE (vivos)</t>
        </is>
      </c>
    </row>
    <row r="5">
      <c r="A5" s="4" t="inlineStr">
        <is>
          <t>COSTO TOTAL (LADO A)</t>
        </is>
      </c>
      <c r="B5" s="5" t="n"/>
      <c r="C5" s="4" t="inlineStr">
        <is>
          <t>COSTO POR PERSONA</t>
        </is>
      </c>
      <c r="D5" s="5" t="n"/>
      <c r="E5" s="6" t="inlineStr">
        <is>
          <t>DÍAS AL RETIRO</t>
        </is>
      </c>
      <c r="F5" s="5" t="n"/>
    </row>
    <row r="6">
      <c r="A6" s="7">
        <f>'01 · LADO A Costos'!O14</f>
        <v/>
      </c>
      <c r="B6" s="5" t="n"/>
      <c r="C6" s="7">
        <f>'01 · LADO A Costos'!O14/100</f>
        <v/>
      </c>
      <c r="D6" s="5" t="n"/>
      <c r="E6" s="8">
        <f>DATE(2026,9,4)-TODAY()</f>
        <v/>
      </c>
      <c r="F6" s="5" t="n"/>
    </row>
    <row r="8">
      <c r="A8" s="9" t="inlineStr">
        <is>
          <t>CUOTAS FIRMES</t>
        </is>
      </c>
      <c r="B8" s="5" t="n"/>
      <c r="C8" s="10" t="inlineStr">
        <is>
          <t>COBERTURA (cuotas/total)</t>
        </is>
      </c>
      <c r="D8" s="5" t="n"/>
      <c r="E8" s="10" t="inlineStr">
        <is>
          <t>BRECHA TRAS CUOTAS</t>
        </is>
      </c>
      <c r="F8" s="5" t="n"/>
    </row>
    <row r="9">
      <c r="A9" s="11">
        <f>'02 · LADO B Recaudación'!D8</f>
        <v/>
      </c>
      <c r="B9" s="5" t="n"/>
      <c r="C9" s="12">
        <f>'02 · LADO B Recaudación'!D8/'01 · LADO A Costos'!O14</f>
        <v/>
      </c>
      <c r="D9" s="5" t="n"/>
      <c r="E9" s="13">
        <f>'02 · LADO B Recaudación'!D20</f>
        <v/>
      </c>
      <c r="F9" s="5" t="n"/>
    </row>
    <row r="11">
      <c r="A11" s="6" t="inlineStr">
        <is>
          <t>PALANCAS ESTIMADAS</t>
        </is>
      </c>
      <c r="B11" s="5" t="n"/>
      <c r="C11" s="9" t="inlineStr">
        <is>
          <t>VALOR DONABLE (especie)</t>
        </is>
      </c>
      <c r="D11" s="5" t="n"/>
      <c r="E11" s="6" t="inlineStr">
        <is>
          <t>% CASA SOBRE EL TOTAL</t>
        </is>
      </c>
      <c r="F11" s="5" t="n"/>
    </row>
    <row r="12">
      <c r="A12" s="14">
        <f>'02 · LADO B Recaudación'!D15</f>
        <v/>
      </c>
      <c r="B12" s="5" t="n"/>
      <c r="C12" s="11">
        <f>'02 · LADO B Recaudación'!D34</f>
        <v/>
      </c>
      <c r="D12" s="5" t="n"/>
      <c r="E12" s="15">
        <f>'01 · LADO A Costos'!O5/'01 · LADO A Costos'!O14</f>
        <v/>
      </c>
      <c r="F12" s="5" t="n"/>
    </row>
    <row r="14">
      <c r="A14" s="3" t="inlineStr">
        <is>
          <t>NAVEGACIÓN</t>
        </is>
      </c>
    </row>
    <row r="15">
      <c r="A15" s="16" t="inlineStr">
        <is>
          <t>▶ 01 · LADO A Costos</t>
        </is>
      </c>
      <c r="B15" s="17" t="inlineStr">
        <is>
          <t>Costos detallados, ordenables por precio/volumen/categoría</t>
        </is>
      </c>
      <c r="C15" s="18" t="n"/>
      <c r="D15" s="18" t="n"/>
      <c r="E15" s="18" t="n"/>
      <c r="F15" s="18" t="n"/>
    </row>
    <row r="16">
      <c r="A16" s="16" t="inlineStr">
        <is>
          <t>▶ 02 · LADO B Recaudación</t>
        </is>
      </c>
      <c r="B16" s="17" t="inlineStr">
        <is>
          <t>Cuotas firmes, palancas, ecuación de brecha, escenarios</t>
        </is>
      </c>
      <c r="C16" s="18" t="n"/>
      <c r="D16" s="18" t="n"/>
      <c r="E16" s="18" t="n"/>
      <c r="F16" s="18" t="n"/>
    </row>
    <row r="17">
      <c r="A17" s="16" t="inlineStr">
        <is>
          <t>▶ 03 · Calendario</t>
        </is>
      </c>
      <c r="B17" s="17" t="inlineStr">
        <is>
          <t>Cronograma Jun–Ago + flujo de caja proyectado</t>
        </is>
      </c>
      <c r="C17" s="18" t="n"/>
      <c r="D17" s="18" t="n"/>
      <c r="E17" s="18" t="n"/>
      <c r="F17" s="18" t="n"/>
    </row>
    <row r="18">
      <c r="A18" s="16" t="inlineStr">
        <is>
          <t>▶ 04 · Caja</t>
        </is>
      </c>
      <c r="B18" s="17" t="inlineStr">
        <is>
          <t>Movimientos reales de tesorería (saldo vivo)</t>
        </is>
      </c>
      <c r="C18" s="18" t="n"/>
      <c r="D18" s="18" t="n"/>
      <c r="E18" s="18" t="n"/>
      <c r="F18" s="18" t="n"/>
    </row>
    <row r="19">
      <c r="A19" s="16" t="inlineStr">
        <is>
          <t>▶ 05 · Benchmarks</t>
        </is>
      </c>
      <c r="B19" s="17" t="inlineStr">
        <is>
          <t>Lecciones de ETC 78/79/83/85/86</t>
        </is>
      </c>
      <c r="C19" s="18" t="n"/>
      <c r="D19" s="18" t="n"/>
      <c r="E19" s="18" t="n"/>
      <c r="F19" s="18" t="n"/>
    </row>
    <row r="20">
      <c r="A20" s="16" t="inlineStr">
        <is>
          <t>▶ 06 · Cuotas</t>
        </is>
      </c>
      <c r="B20" s="17" t="inlineStr">
        <is>
          <t>Qué cubre cada cuota (participante vs equipo) y cobertura real</t>
        </is>
      </c>
      <c r="C20" s="18" t="n"/>
      <c r="D20" s="18" t="n"/>
      <c r="E20" s="18" t="n"/>
      <c r="F20" s="18" t="n"/>
    </row>
    <row r="22">
      <c r="A22" s="3" t="inlineStr">
        <is>
          <t>DESGLOSE POR RUBRO (vivo)</t>
        </is>
      </c>
    </row>
    <row r="23">
      <c r="A23" s="19" t="inlineStr">
        <is>
          <t>Rubro</t>
        </is>
      </c>
      <c r="B23" s="19" t="inlineStr">
        <is>
          <t>Subtotal</t>
        </is>
      </c>
      <c r="C23" s="19" t="inlineStr">
        <is>
          <t>% del total</t>
        </is>
      </c>
    </row>
    <row r="24">
      <c r="A24" s="17" t="inlineStr">
        <is>
          <t>1 · Casa</t>
        </is>
      </c>
      <c r="B24" s="20">
        <f>'01 · LADO A Costos'!O5</f>
        <v/>
      </c>
      <c r="C24" s="21">
        <f>'01 · LADO A Costos'!O5/'01 · LADO A Costos'!O14</f>
        <v/>
      </c>
    </row>
    <row r="25">
      <c r="A25" s="17" t="inlineStr">
        <is>
          <t>2 · Cocina</t>
        </is>
      </c>
      <c r="B25" s="20">
        <f>'01 · LADO A Costos'!O6</f>
        <v/>
      </c>
      <c r="C25" s="21">
        <f>'01 · LADO A Costos'!O6/'01 · LADO A Costos'!O14</f>
        <v/>
      </c>
    </row>
    <row r="26">
      <c r="A26" s="17" t="inlineStr">
        <is>
          <t>3 · Transporte</t>
        </is>
      </c>
      <c r="B26" s="20">
        <f>'01 · LADO A Costos'!O7</f>
        <v/>
      </c>
      <c r="C26" s="21">
        <f>'01 · LADO A Costos'!O7/'01 · LADO A Costos'!O14</f>
        <v/>
      </c>
    </row>
    <row r="27">
      <c r="A27" s="17" t="inlineStr">
        <is>
          <t>4 · Biblias y peces</t>
        </is>
      </c>
      <c r="B27" s="20">
        <f>'01 · LADO A Costos'!O8</f>
        <v/>
      </c>
      <c r="C27" s="21">
        <f>'01 · LADO A Costos'!O8/'01 · LADO A Costos'!O14</f>
        <v/>
      </c>
    </row>
    <row r="28">
      <c r="A28" s="17" t="inlineStr">
        <is>
          <t>5 · Guías/Eventos/Música/Camisetas</t>
        </is>
      </c>
      <c r="B28" s="20">
        <f>'01 · LADO A Costos'!O9</f>
        <v/>
      </c>
      <c r="C28" s="21">
        <f>'01 · LADO A Costos'!O9/'01 · LADO A Costos'!O14</f>
        <v/>
      </c>
    </row>
    <row r="29">
      <c r="A29" s="17" t="inlineStr">
        <is>
          <t>6 · Litúrgico</t>
        </is>
      </c>
      <c r="B29" s="20">
        <f>'01 · LADO A Costos'!O10</f>
        <v/>
      </c>
      <c r="C29" s="21">
        <f>'01 · LADO A Costos'!O10/'01 · LADO A Costos'!O14</f>
        <v/>
      </c>
    </row>
    <row r="30">
      <c r="A30" s="17" t="inlineStr">
        <is>
          <t>7 · Avanzada</t>
        </is>
      </c>
      <c r="B30" s="20">
        <f>'01 · LADO A Costos'!O11</f>
        <v/>
      </c>
      <c r="C30" s="21">
        <f>'01 · LADO A Costos'!O11/'01 · LADO A Costos'!O14</f>
        <v/>
      </c>
    </row>
    <row r="31">
      <c r="A31" s="22" t="inlineStr">
        <is>
          <t>TOTAL LADO A</t>
        </is>
      </c>
      <c r="B31" s="23">
        <f>'01 · LADO A Costos'!O14</f>
        <v/>
      </c>
      <c r="C31" s="24" t="n">
        <v>1</v>
      </c>
    </row>
    <row r="33">
      <c r="A33" s="25" t="inlineStr">
        <is>
          <t>DECISIONES PENDIENTES (resolver con el equipo)</t>
        </is>
      </c>
    </row>
    <row r="34">
      <c r="A34" s="19" t="inlineStr">
        <is>
          <t>Tema</t>
        </is>
      </c>
      <c r="B34" s="19" t="inlineStr">
        <is>
          <t>Situación / opciones</t>
        </is>
      </c>
      <c r="C34" s="26" t="n"/>
      <c r="D34" s="26" t="n"/>
      <c r="E34" s="26" t="n"/>
      <c r="F34" s="19" t="inlineStr">
        <is>
          <t>Estado</t>
        </is>
      </c>
    </row>
    <row r="35">
      <c r="A35" s="27" t="inlineStr">
        <is>
          <t>Exención casa</t>
        </is>
      </c>
      <c r="B35" s="17" t="inlineStr">
        <is>
          <t>2,000/pers (con exención) vs 2,300 (sin). Gestionar con parroquia. Vale 30,000.</t>
        </is>
      </c>
      <c r="C35" s="18" t="n"/>
      <c r="D35" s="18" t="n"/>
      <c r="E35" s="18" t="n"/>
      <c r="F35" s="28" t="inlineStr">
        <is>
          <t>Por confirmar</t>
        </is>
      </c>
    </row>
    <row r="36">
      <c r="A36" s="27" t="inlineStr">
        <is>
          <t>Tamaño equipo</t>
        </is>
      </c>
      <c r="B36" s="17" t="inlineStr">
        <is>
          <t>RESUELTO (Carpeta): 53 titulares · 48 operativos en el retiro. Casa usa 48 equipo; camisetas 53.</t>
        </is>
      </c>
      <c r="C36" s="18" t="n"/>
      <c r="D36" s="18" t="n"/>
      <c r="E36" s="18" t="n"/>
      <c r="F36" s="28" t="inlineStr">
        <is>
          <t>Resuelto</t>
        </is>
      </c>
    </row>
    <row r="37">
      <c r="A37" s="27" t="inlineStr">
        <is>
          <t>Nº de participantes</t>
        </is>
      </c>
      <c r="B37" s="17" t="inlineStr">
        <is>
          <t>Casa asume 50 part. (estimado). Confirmar lista real de participantes.</t>
        </is>
      </c>
      <c r="C37" s="18" t="n"/>
      <c r="D37" s="18" t="n"/>
      <c r="E37" s="18" t="n"/>
      <c r="F37" s="28" t="inlineStr">
        <is>
          <t>Por confirmar</t>
        </is>
      </c>
    </row>
    <row r="38">
      <c r="A38" s="27" t="inlineStr">
        <is>
          <t>Cuotas</t>
        </is>
      </c>
      <c r="B38" s="17" t="inlineStr">
        <is>
          <t>Vigente 3,000/2,000 vs histórico 2,500/1,500.</t>
        </is>
      </c>
      <c r="C38" s="18" t="n"/>
      <c r="D38" s="18" t="n"/>
      <c r="E38" s="18" t="n"/>
      <c r="F38" s="28" t="inlineStr">
        <is>
          <t>Vigente</t>
        </is>
      </c>
    </row>
    <row r="39">
      <c r="A39" s="27" t="inlineStr">
        <is>
          <t>Transporte</t>
        </is>
      </c>
      <c r="B39" s="17" t="inlineStr">
        <is>
          <t>3 buses POR COTIZAR (15,000 + 34,000 + 28,500 estimados).</t>
        </is>
      </c>
      <c r="C39" s="18" t="n"/>
      <c r="D39" s="18" t="n"/>
      <c r="E39" s="18" t="n"/>
      <c r="F39" s="28" t="inlineStr">
        <is>
          <t>Cotizar</t>
        </is>
      </c>
    </row>
    <row r="40">
      <c r="A40" s="27" t="inlineStr">
        <is>
          <t>Avanzada</t>
        </is>
      </c>
      <c r="B40" s="17" t="inlineStr">
        <is>
          <t>Sin estimado (0). Definir hospedaje+comida 15–20 pers jue/vie.</t>
        </is>
      </c>
      <c r="C40" s="18" t="n"/>
      <c r="D40" s="18" t="n"/>
      <c r="E40" s="18" t="n"/>
      <c r="F40" s="28" t="inlineStr">
        <is>
          <t>Falta dato</t>
        </is>
      </c>
    </row>
    <row r="41">
      <c r="A41" s="27" t="inlineStr">
        <is>
          <t>Movimiento salón</t>
        </is>
      </c>
      <c r="B41" s="17" t="inlineStr">
        <is>
          <t>Aporte/pago 10,000 a Franklin Pozo: ¿entrada o salida?</t>
        </is>
      </c>
      <c r="C41" s="18" t="n"/>
      <c r="D41" s="18" t="n"/>
      <c r="E41" s="18" t="n"/>
      <c r="F41" s="28" t="inlineStr">
        <is>
          <t>Por confirmar</t>
        </is>
      </c>
    </row>
    <row r="42">
      <c r="A42" s="27" t="inlineStr">
        <is>
          <t>Responsable Tesorería</t>
        </is>
      </c>
      <c r="B42" s="17" t="inlineStr">
        <is>
          <t>No nombrado (lección ETC 85). Bloquea operar el modelo.</t>
        </is>
      </c>
      <c r="C42" s="18" t="n"/>
      <c r="D42" s="18" t="n"/>
      <c r="E42" s="18" t="n"/>
      <c r="F42" s="28" t="inlineStr">
        <is>
          <t>Nombrar</t>
        </is>
      </c>
    </row>
    <row r="43">
      <c r="A43" s="27" t="inlineStr">
        <is>
          <t>Ítems cocina no verificados</t>
        </is>
      </c>
      <c r="B43" s="17" t="inlineStr">
        <is>
          <t>Té frío, sazón, orégano, puerro, bizcocho, salsa roja kg.</t>
        </is>
      </c>
      <c r="C43" s="18" t="n"/>
      <c r="D43" s="18" t="n"/>
      <c r="E43" s="18" t="n"/>
      <c r="F43" s="28" t="inlineStr">
        <is>
          <t>Verificar</t>
        </is>
      </c>
    </row>
    <row r="44">
      <c r="A44" s="27" t="inlineStr">
        <is>
          <t>Donaciones en especie</t>
        </is>
      </c>
      <c r="B44" s="17" t="inlineStr">
        <is>
          <t>Hasta 114,701 potencial; confirmar biblias/peces/café/arroz.</t>
        </is>
      </c>
      <c r="C44" s="18" t="n"/>
      <c r="D44" s="18" t="n"/>
      <c r="E44" s="18" t="n"/>
      <c r="F44" s="28" t="inlineStr">
        <is>
          <t>Gestionar</t>
        </is>
      </c>
    </row>
    <row r="46">
      <c r="A46" s="29" t="inlineStr">
        <is>
          <t>CÓMO USAR</t>
        </is>
      </c>
    </row>
    <row r="47">
      <c r="A47" s="30" t="inlineStr">
        <is>
          <t>1. Edita SOLO celdas amarillas (cantidades, precios, cuotas, entradas/salidas). El resto son fórmulas.</t>
        </is>
      </c>
    </row>
    <row r="48">
      <c r="A48" s="30" t="inlineStr">
        <is>
          <t>2. La brecha y este tablero se recalculan solos al cambiar costos o cuotas.</t>
        </is>
      </c>
    </row>
    <row r="49">
      <c r="A49" s="30" t="inlineStr">
        <is>
          <t>3. Ordena/filtra el LADO A por precio o volumen con el AutoFilter de la fila de encabezado.</t>
        </is>
      </c>
    </row>
    <row r="50">
      <c r="A50" s="30" t="inlineStr">
        <is>
          <t>4. Registra en 'Caja' cada peso movido; el saldo se actualiza solo.</t>
        </is>
      </c>
    </row>
    <row r="51">
      <c r="A51" s="30" t="inlineStr">
        <is>
          <t>5. Verde = firme · Amarillo = estimado/editable · Naranja = alerta.</t>
        </is>
      </c>
    </row>
  </sheetData>
  <mergeCells count="42">
    <mergeCell ref="E12:F12"/>
    <mergeCell ref="B40:E40"/>
    <mergeCell ref="C6:D6"/>
    <mergeCell ref="B16:F16"/>
    <mergeCell ref="B37:E37"/>
    <mergeCell ref="A11:B11"/>
    <mergeCell ref="C5:D5"/>
    <mergeCell ref="E5:F5"/>
    <mergeCell ref="A50:F50"/>
    <mergeCell ref="E8:F8"/>
    <mergeCell ref="A6:B6"/>
    <mergeCell ref="B18:F18"/>
    <mergeCell ref="B36:E36"/>
    <mergeCell ref="A2:F2"/>
    <mergeCell ref="B41:E41"/>
    <mergeCell ref="A47:F47"/>
    <mergeCell ref="B35:E35"/>
    <mergeCell ref="C9:D9"/>
    <mergeCell ref="E9:F9"/>
    <mergeCell ref="B17:F17"/>
    <mergeCell ref="A12:B12"/>
    <mergeCell ref="C12:D12"/>
    <mergeCell ref="E6:F6"/>
    <mergeCell ref="B43:E43"/>
    <mergeCell ref="C11:D11"/>
    <mergeCell ref="E11:F11"/>
    <mergeCell ref="A5:B5"/>
    <mergeCell ref="B19:F19"/>
    <mergeCell ref="B39:E39"/>
    <mergeCell ref="A48:F48"/>
    <mergeCell ref="A8:B8"/>
    <mergeCell ref="B42:E42"/>
    <mergeCell ref="C8:D8"/>
    <mergeCell ref="A49:F49"/>
    <mergeCell ref="A51:F51"/>
    <mergeCell ref="B20:F20"/>
    <mergeCell ref="B15:F15"/>
    <mergeCell ref="A1:F1"/>
    <mergeCell ref="B38:E38"/>
    <mergeCell ref="B44:E44"/>
    <mergeCell ref="B34:E34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7" customWidth="1" min="4" max="4"/>
    <col width="12" customWidth="1" min="5" max="5"/>
    <col width="11" customWidth="1" min="6" max="6"/>
    <col width="13" customWidth="1" min="7" max="7"/>
    <col width="9" customWidth="1" min="8" max="8"/>
    <col width="28" customWidth="1" min="9" max="9"/>
    <col width="10" customWidth="1" min="10" max="10"/>
    <col width="8" customWidth="1" min="11" max="11"/>
    <col width="44" customWidth="1" min="12" max="12"/>
    <col width="30" customWidth="1" min="14" max="14"/>
    <col width="14" customWidth="1" min="15" max="15"/>
  </cols>
  <sheetData>
    <row r="1">
      <c r="A1" s="31" t="inlineStr">
        <is>
          <t>ETC 88 · LADO A — COSTOS (tabla ordenable: filtra/ordena por precio, volumen o categoría)</t>
        </is>
      </c>
    </row>
    <row r="2">
      <c r="A2" s="32" t="inlineStr">
        <is>
          <t>4–6 sep 2026 · Casa La Ceiba del Salado, Higüey · 100 pers. base (50 part. + 50 equipo cubierto; 53 equipo total con 3 asesores externos) · precios cocina jun-2026</t>
        </is>
      </c>
    </row>
    <row r="3">
      <c r="N3" s="3" t="inlineStr">
        <is>
          <t>RESUMEN LADO A</t>
        </is>
      </c>
    </row>
    <row r="4">
      <c r="A4" s="19" t="inlineStr">
        <is>
          <t>Rubro</t>
        </is>
      </c>
      <c r="B4" s="19" t="inlineStr">
        <is>
          <t>Categoría</t>
        </is>
      </c>
      <c r="C4" s="19" t="inlineStr">
        <is>
          <t>Ítem</t>
        </is>
      </c>
      <c r="D4" s="19" t="inlineStr">
        <is>
          <t>Cant.</t>
        </is>
      </c>
      <c r="E4" s="19" t="inlineStr">
        <is>
          <t>Unidad</t>
        </is>
      </c>
      <c r="F4" s="19" t="inlineStr">
        <is>
          <t>P. Unit</t>
        </is>
      </c>
      <c r="G4" s="19" t="inlineStr">
        <is>
          <t>Subtotal</t>
        </is>
      </c>
      <c r="H4" s="19" t="inlineStr">
        <is>
          <t>% costo</t>
        </is>
      </c>
      <c r="I4" s="19" t="inlineStr">
        <is>
          <t>Proveedor / Fuente</t>
        </is>
      </c>
      <c r="J4" s="19" t="inlineStr">
        <is>
          <t>Estado</t>
        </is>
      </c>
      <c r="K4" s="19" t="inlineStr">
        <is>
          <t>Donable</t>
        </is>
      </c>
      <c r="L4" s="19" t="inlineStr">
        <is>
          <t>Nota</t>
        </is>
      </c>
      <c r="N4" s="33" t="inlineStr">
        <is>
          <t>Rubro</t>
        </is>
      </c>
      <c r="O4" s="33" t="inlineStr">
        <is>
          <t>Subtotal</t>
        </is>
      </c>
    </row>
    <row r="5">
      <c r="A5" s="17" t="inlineStr">
        <is>
          <t>1 · Casa</t>
        </is>
      </c>
      <c r="B5" s="17" t="inlineStr">
        <is>
          <t>Hospedaje</t>
        </is>
      </c>
      <c r="C5" s="17" t="inlineStr">
        <is>
          <t>Hospedaje 100 pers. (3 días)</t>
        </is>
      </c>
      <c r="D5" s="34" t="n">
        <v>100</v>
      </c>
      <c r="E5" s="34" t="inlineStr">
        <is>
          <t>Persona</t>
        </is>
      </c>
      <c r="F5" s="20" t="n">
        <v>2000</v>
      </c>
      <c r="G5" s="20">
        <f>D5*F5</f>
        <v/>
      </c>
      <c r="H5" s="21">
        <f>G5/SUM($G$5:$G$74)</f>
        <v/>
      </c>
      <c r="I5" s="17" t="inlineStr">
        <is>
          <t>Casa La Ceiba del Salado, Higüey</t>
        </is>
      </c>
      <c r="J5" s="28" t="inlineStr">
        <is>
          <t>Estimado</t>
        </is>
      </c>
      <c r="K5" s="34" t="inlineStr">
        <is>
          <t>N</t>
        </is>
      </c>
      <c r="L5" s="17" t="inlineStr">
        <is>
          <t>50 part. + 50 equipo cubierto (3 asesores externos auto-cubren su estadía). Con exención 2,000; sin exención 2,300 (+30,000). CONFIRMAR tarifa 2026.</t>
        </is>
      </c>
      <c r="N5" s="35" t="inlineStr">
        <is>
          <t>1 · Casa</t>
        </is>
      </c>
      <c r="O5" s="36">
        <f>SUMIF($A$5:$A$74,N5,$G$5:$G$74)</f>
        <v/>
      </c>
    </row>
    <row r="6">
      <c r="A6" s="17" t="inlineStr">
        <is>
          <t>2 · Cocina</t>
        </is>
      </c>
      <c r="B6" s="17" t="inlineStr">
        <is>
          <t>Vegetal/Fruta</t>
        </is>
      </c>
      <c r="C6" s="17" t="inlineStr">
        <is>
          <t>Plátano verde</t>
        </is>
      </c>
      <c r="D6" s="34" t="n">
        <v>180</v>
      </c>
      <c r="E6" s="34" t="inlineStr">
        <is>
          <t>Unidad</t>
        </is>
      </c>
      <c r="F6" s="20" t="n">
        <v>24</v>
      </c>
      <c r="G6" s="20">
        <f>D6*F6</f>
        <v/>
      </c>
      <c r="H6" s="21">
        <f>G6/SUM($G$5:$G$74)</f>
        <v/>
      </c>
      <c r="I6" s="17" t="inlineStr">
        <is>
          <t>S.Nacional</t>
        </is>
      </c>
      <c r="J6" s="28" t="inlineStr">
        <is>
          <t>Estimado</t>
        </is>
      </c>
      <c r="K6" s="34" t="inlineStr">
        <is>
          <t>N</t>
        </is>
      </c>
      <c r="L6" s="17" t="inlineStr">
        <is>
          <t>Nacional 24 (Jumbo 21)</t>
        </is>
      </c>
      <c r="N6" s="35" t="inlineStr">
        <is>
          <t>2 · Cocina</t>
        </is>
      </c>
      <c r="O6" s="36">
        <f>SUMIF($A$5:$A$74,N6,$G$5:$G$74)</f>
        <v/>
      </c>
    </row>
    <row r="7">
      <c r="A7" s="17" t="inlineStr">
        <is>
          <t>2 · Cocina</t>
        </is>
      </c>
      <c r="B7" s="17" t="inlineStr">
        <is>
          <t>Proteína</t>
        </is>
      </c>
      <c r="C7" s="17" t="inlineStr">
        <is>
          <t>Pechuga de pollo (con hueso)</t>
        </is>
      </c>
      <c r="D7" s="34" t="n">
        <v>50</v>
      </c>
      <c r="E7" s="34" t="inlineStr">
        <is>
          <t>Libra</t>
        </is>
      </c>
      <c r="F7" s="20" t="n">
        <v>135</v>
      </c>
      <c r="G7" s="20">
        <f>D7*F7</f>
        <v/>
      </c>
      <c r="H7" s="21">
        <f>G7/SUM($G$5:$G$74)</f>
        <v/>
      </c>
      <c r="I7" s="17" t="inlineStr">
        <is>
          <t>Jumbo/Nacional</t>
        </is>
      </c>
      <c r="J7" s="28" t="inlineStr">
        <is>
          <t>Estimado</t>
        </is>
      </c>
      <c r="K7" s="34" t="inlineStr">
        <is>
          <t>N</t>
        </is>
      </c>
      <c r="L7" s="17" t="inlineStr">
        <is>
          <t>134.95/lb. ↓ vs 160</t>
        </is>
      </c>
      <c r="N7" s="35" t="inlineStr">
        <is>
          <t>3 · Transporte</t>
        </is>
      </c>
      <c r="O7" s="36">
        <f>SUMIF($A$5:$A$74,N7,$G$5:$G$74)</f>
        <v/>
      </c>
    </row>
    <row r="8">
      <c r="A8" s="17" t="inlineStr">
        <is>
          <t>2 · Cocina</t>
        </is>
      </c>
      <c r="B8" s="17" t="inlineStr">
        <is>
          <t>Proteína</t>
        </is>
      </c>
      <c r="C8" s="17" t="inlineStr">
        <is>
          <t>Carne de res para guisar</t>
        </is>
      </c>
      <c r="D8" s="34" t="n">
        <v>45</v>
      </c>
      <c r="E8" s="34" t="inlineStr">
        <is>
          <t>Libra</t>
        </is>
      </c>
      <c r="F8" s="20" t="n">
        <v>265</v>
      </c>
      <c r="G8" s="20">
        <f>D8*F8</f>
        <v/>
      </c>
      <c r="H8" s="21">
        <f>G8/SUM($G$5:$G$74)</f>
        <v/>
      </c>
      <c r="I8" s="17" t="inlineStr">
        <is>
          <t>Jumbo</t>
        </is>
      </c>
      <c r="J8" s="28" t="inlineStr">
        <is>
          <t>Estimado</t>
        </is>
      </c>
      <c r="K8" s="34" t="inlineStr">
        <is>
          <t>N</t>
        </is>
      </c>
      <c r="L8" s="17" t="inlineStr">
        <is>
          <t>⚠️ 264.95/lb (subió vs 170). Revisar corte</t>
        </is>
      </c>
      <c r="N8" s="35" t="inlineStr">
        <is>
          <t>4 · Biblias y peces</t>
        </is>
      </c>
      <c r="O8" s="36">
        <f>SUMIF($A$5:$A$74,N8,$G$5:$G$74)</f>
        <v/>
      </c>
    </row>
    <row r="9">
      <c r="A9" s="17" t="inlineStr">
        <is>
          <t>2 · Cocina</t>
        </is>
      </c>
      <c r="B9" s="17" t="inlineStr">
        <is>
          <t>Vegetal/Fruta</t>
        </is>
      </c>
      <c r="C9" s="17" t="inlineStr">
        <is>
          <t>Papa</t>
        </is>
      </c>
      <c r="D9" s="34" t="n">
        <v>64</v>
      </c>
      <c r="E9" s="34" t="inlineStr">
        <is>
          <t>Libra</t>
        </is>
      </c>
      <c r="F9" s="20" t="n">
        <v>45</v>
      </c>
      <c r="G9" s="20">
        <f>D9*F9</f>
        <v/>
      </c>
      <c r="H9" s="21">
        <f>G9/SUM($G$5:$G$74)</f>
        <v/>
      </c>
      <c r="I9" s="17" t="inlineStr">
        <is>
          <t>S.Nacional</t>
        </is>
      </c>
      <c r="J9" s="28" t="inlineStr">
        <is>
          <t>Estimado</t>
        </is>
      </c>
      <c r="K9" s="34" t="inlineStr">
        <is>
          <t>N</t>
        </is>
      </c>
      <c r="L9" s="17" t="inlineStr">
        <is>
          <t>Malla 5lb ~45/lb</t>
        </is>
      </c>
      <c r="N9" s="35" t="inlineStr">
        <is>
          <t>5 · Guías/Eventos/Música/Camisetas</t>
        </is>
      </c>
      <c r="O9" s="36">
        <f>SUMIF($A$5:$A$74,N9,$G$5:$G$74)</f>
        <v/>
      </c>
    </row>
    <row r="10">
      <c r="A10" s="17" t="inlineStr">
        <is>
          <t>2 · Cocina</t>
        </is>
      </c>
      <c r="B10" s="17" t="inlineStr">
        <is>
          <t>Vegetal/Fruta</t>
        </is>
      </c>
      <c r="C10" s="17" t="inlineStr">
        <is>
          <t>Cebolla roja</t>
        </is>
      </c>
      <c r="D10" s="34" t="n">
        <v>8</v>
      </c>
      <c r="E10" s="34" t="inlineStr">
        <is>
          <t>Libra</t>
        </is>
      </c>
      <c r="F10" s="20" t="n">
        <v>49</v>
      </c>
      <c r="G10" s="20">
        <f>D10*F10</f>
        <v/>
      </c>
      <c r="H10" s="21">
        <f>G10/SUM($G$5:$G$74)</f>
        <v/>
      </c>
      <c r="I10" s="17" t="inlineStr">
        <is>
          <t>Sirena</t>
        </is>
      </c>
      <c r="J10" s="28" t="inlineStr">
        <is>
          <t>Estimado</t>
        </is>
      </c>
      <c r="K10" s="34" t="inlineStr">
        <is>
          <t>N</t>
        </is>
      </c>
      <c r="L10" s="17" t="inlineStr">
        <is>
          <t>Criolla 49/lb</t>
        </is>
      </c>
      <c r="N10" s="35" t="inlineStr">
        <is>
          <t>6 · Litúrgico</t>
        </is>
      </c>
      <c r="O10" s="36">
        <f>SUMIF($A$5:$A$74,N10,$G$5:$G$74)</f>
        <v/>
      </c>
    </row>
    <row r="11">
      <c r="A11" s="17" t="inlineStr">
        <is>
          <t>2 · Cocina</t>
        </is>
      </c>
      <c r="B11" s="17" t="inlineStr">
        <is>
          <t>Vegetal/Fruta</t>
        </is>
      </c>
      <c r="C11" s="17" t="inlineStr">
        <is>
          <t>Ají morrón</t>
        </is>
      </c>
      <c r="D11" s="34" t="n">
        <v>7</v>
      </c>
      <c r="E11" s="34" t="inlineStr">
        <is>
          <t>Libra</t>
        </is>
      </c>
      <c r="F11" s="20" t="n">
        <v>83</v>
      </c>
      <c r="G11" s="20">
        <f>D11*F11</f>
        <v/>
      </c>
      <c r="H11" s="21">
        <f>G11/SUM($G$5:$G$74)</f>
        <v/>
      </c>
      <c r="I11" s="17" t="inlineStr">
        <is>
          <t>S.Nacional</t>
        </is>
      </c>
      <c r="J11" s="28" t="inlineStr">
        <is>
          <t>Estimado</t>
        </is>
      </c>
      <c r="K11" s="34" t="inlineStr">
        <is>
          <t>N</t>
        </is>
      </c>
      <c r="L11" s="17" t="inlineStr">
        <is>
          <t>Rojo 83/lb</t>
        </is>
      </c>
      <c r="N11" s="35" t="inlineStr">
        <is>
          <t>7 · Avanzada</t>
        </is>
      </c>
      <c r="O11" s="36">
        <f>SUMIF($A$5:$A$74,N11,$G$5:$G$74)</f>
        <v/>
      </c>
    </row>
    <row r="12">
      <c r="A12" s="17" t="inlineStr">
        <is>
          <t>2 · Cocina</t>
        </is>
      </c>
      <c r="B12" s="17" t="inlineStr">
        <is>
          <t>Vegetal/Fruta</t>
        </is>
      </c>
      <c r="C12" s="17" t="inlineStr">
        <is>
          <t>Tomate barceló</t>
        </is>
      </c>
      <c r="D12" s="34" t="n">
        <v>10</v>
      </c>
      <c r="E12" s="34" t="inlineStr">
        <is>
          <t>Libra</t>
        </is>
      </c>
      <c r="F12" s="20" t="n">
        <v>42</v>
      </c>
      <c r="G12" s="20">
        <f>D12*F12</f>
        <v/>
      </c>
      <c r="H12" s="21">
        <f>G12/SUM($G$5:$G$74)</f>
        <v/>
      </c>
      <c r="I12" s="17" t="inlineStr">
        <is>
          <t>Garrido</t>
        </is>
      </c>
      <c r="J12" s="28" t="inlineStr">
        <is>
          <t>Estimado</t>
        </is>
      </c>
      <c r="K12" s="34" t="inlineStr">
        <is>
          <t>N</t>
        </is>
      </c>
      <c r="L12" s="17" t="inlineStr">
        <is>
          <t>Bugalú/Barceló 42/lb</t>
        </is>
      </c>
      <c r="N12" s="37" t="inlineStr">
        <is>
          <t>Subtotal operativo</t>
        </is>
      </c>
      <c r="O12" s="38">
        <f>SUM($G$5:$G$74)</f>
        <v/>
      </c>
    </row>
    <row r="13">
      <c r="A13" s="17" t="inlineStr">
        <is>
          <t>2 · Cocina</t>
        </is>
      </c>
      <c r="B13" s="17" t="inlineStr">
        <is>
          <t>Proteína</t>
        </is>
      </c>
      <c r="C13" s="17" t="inlineStr">
        <is>
          <t>Chuleta ahumada</t>
        </is>
      </c>
      <c r="D13" s="34" t="n">
        <v>6</v>
      </c>
      <c r="E13" s="34" t="inlineStr">
        <is>
          <t>Libra</t>
        </is>
      </c>
      <c r="F13" s="20" t="n">
        <v>129</v>
      </c>
      <c r="G13" s="20">
        <f>D13*F13</f>
        <v/>
      </c>
      <c r="H13" s="21">
        <f>G13/SUM($G$5:$G$74)</f>
        <v/>
      </c>
      <c r="I13" s="17" t="inlineStr">
        <is>
          <t>S.Nacional</t>
        </is>
      </c>
      <c r="J13" s="28" t="inlineStr">
        <is>
          <t>Estimado</t>
        </is>
      </c>
      <c r="K13" s="34" t="inlineStr">
        <is>
          <t>N</t>
        </is>
      </c>
      <c r="L13" s="17" t="inlineStr">
        <is>
          <t>Cerdo 129/lb</t>
        </is>
      </c>
      <c r="N13" s="37" t="inlineStr">
        <is>
          <t>Imprevistos / contingencia (10%)</t>
        </is>
      </c>
      <c r="O13" s="38">
        <f>ROUND(0.10*O12,0)</f>
        <v/>
      </c>
    </row>
    <row r="14">
      <c r="A14" s="17" t="inlineStr">
        <is>
          <t>2 · Cocina</t>
        </is>
      </c>
      <c r="B14" s="17" t="inlineStr">
        <is>
          <t>Proteína</t>
        </is>
      </c>
      <c r="C14" s="17" t="inlineStr">
        <is>
          <t>Salami (barra Induveca 2.25lb)</t>
        </is>
      </c>
      <c r="D14" s="34" t="n">
        <v>3</v>
      </c>
      <c r="E14" s="34" t="inlineStr">
        <is>
          <t>Barra</t>
        </is>
      </c>
      <c r="F14" s="20" t="n">
        <v>430</v>
      </c>
      <c r="G14" s="20">
        <f>D14*F14</f>
        <v/>
      </c>
      <c r="H14" s="21">
        <f>G14/SUM($G$5:$G$74)</f>
        <v/>
      </c>
      <c r="I14" s="17" t="inlineStr">
        <is>
          <t>Nacional/Plaza Lama</t>
        </is>
      </c>
      <c r="J14" s="28" t="inlineStr">
        <is>
          <t>Estimado</t>
        </is>
      </c>
      <c r="K14" s="34" t="inlineStr">
        <is>
          <t>N</t>
        </is>
      </c>
      <c r="L14" s="17" t="inlineStr">
        <is>
          <t>2.25lb ~430; grande 3.5lb 479-514</t>
        </is>
      </c>
      <c r="N14" s="22" t="inlineStr">
        <is>
          <t>TOTAL LADO A</t>
        </is>
      </c>
      <c r="O14" s="23">
        <f>O12+O13</f>
        <v/>
      </c>
    </row>
    <row r="15">
      <c r="A15" s="17" t="inlineStr">
        <is>
          <t>2 · Cocina</t>
        </is>
      </c>
      <c r="B15" s="17" t="inlineStr">
        <is>
          <t>Lácteo/Huevo</t>
        </is>
      </c>
      <c r="C15" s="17" t="inlineStr">
        <is>
          <t>Huevos</t>
        </is>
      </c>
      <c r="D15" s="34" t="n">
        <v>6</v>
      </c>
      <c r="E15" s="34" t="inlineStr">
        <is>
          <t>Cartón 30</t>
        </is>
      </c>
      <c r="F15" s="20" t="n">
        <v>215</v>
      </c>
      <c r="G15" s="20">
        <f>D15*F15</f>
        <v/>
      </c>
      <c r="H15" s="21">
        <f>G15/SUM($G$5:$G$74)</f>
        <v/>
      </c>
      <c r="I15" s="17" t="inlineStr">
        <is>
          <t>S.Nacional</t>
        </is>
      </c>
      <c r="J15" s="28" t="inlineStr">
        <is>
          <t>Estimado</t>
        </is>
      </c>
      <c r="K15" s="34" t="inlineStr">
        <is>
          <t>N</t>
        </is>
      </c>
      <c r="L15" s="17" t="inlineStr">
        <is>
          <t>Líder 214.95. ↓ vs 250</t>
        </is>
      </c>
    </row>
    <row r="16">
      <c r="A16" s="17" t="inlineStr">
        <is>
          <t>2 · Cocina</t>
        </is>
      </c>
      <c r="B16" s="17" t="inlineStr">
        <is>
          <t>Proteína</t>
        </is>
      </c>
      <c r="C16" s="17" t="inlineStr">
        <is>
          <t>Jamón cocido rebanado</t>
        </is>
      </c>
      <c r="D16" s="34" t="n">
        <v>6</v>
      </c>
      <c r="E16" s="34" t="inlineStr">
        <is>
          <t>Libra</t>
        </is>
      </c>
      <c r="F16" s="20" t="n">
        <v>155</v>
      </c>
      <c r="G16" s="20">
        <f>D16*F16</f>
        <v/>
      </c>
      <c r="H16" s="21">
        <f>G16/SUM($G$5:$G$74)</f>
        <v/>
      </c>
      <c r="I16" s="17" t="inlineStr">
        <is>
          <t>S.Nacional</t>
        </is>
      </c>
      <c r="J16" s="28" t="inlineStr">
        <is>
          <t>Estimado</t>
        </is>
      </c>
      <c r="K16" s="34" t="inlineStr">
        <is>
          <t>N</t>
        </is>
      </c>
      <c r="L16" s="17" t="inlineStr">
        <is>
          <t>El Pozo 154.95 reg (oferta 129.95)</t>
        </is>
      </c>
      <c r="N16" s="29" t="inlineStr">
        <is>
          <t>MENÚ por categoría (cocina)</t>
        </is>
      </c>
    </row>
    <row r="17">
      <c r="A17" s="17" t="inlineStr">
        <is>
          <t>2 · Cocina</t>
        </is>
      </c>
      <c r="B17" s="17" t="inlineStr">
        <is>
          <t>Lácteo/Huevo</t>
        </is>
      </c>
      <c r="C17" s="17" t="inlineStr">
        <is>
          <t>Queso amarillo/cheddar rebanado</t>
        </is>
      </c>
      <c r="D17" s="34" t="n">
        <v>5</v>
      </c>
      <c r="E17" s="34" t="inlineStr">
        <is>
          <t>Libra</t>
        </is>
      </c>
      <c r="F17" s="20" t="n">
        <v>345</v>
      </c>
      <c r="G17" s="20">
        <f>D17*F17</f>
        <v/>
      </c>
      <c r="H17" s="21">
        <f>G17/SUM($G$5:$G$74)</f>
        <v/>
      </c>
      <c r="I17" s="17" t="inlineStr">
        <is>
          <t>Jumbo/Nacional</t>
        </is>
      </c>
      <c r="J17" s="28" t="inlineStr">
        <is>
          <t>Estimado</t>
        </is>
      </c>
      <c r="K17" s="34" t="inlineStr">
        <is>
          <t>N</t>
        </is>
      </c>
      <c r="L17" s="17" t="inlineStr">
        <is>
          <t>⚠️ ~345/lb (subió vs 260)</t>
        </is>
      </c>
      <c r="N17" s="33" t="inlineStr">
        <is>
          <t>Categoría</t>
        </is>
      </c>
      <c r="O17" s="33" t="inlineStr">
        <is>
          <t>Subtotal</t>
        </is>
      </c>
    </row>
    <row r="18">
      <c r="A18" s="17" t="inlineStr">
        <is>
          <t>2 · Cocina</t>
        </is>
      </c>
      <c r="B18" s="17" t="inlineStr">
        <is>
          <t>Víveres/Grano</t>
        </is>
      </c>
      <c r="C18" s="17" t="inlineStr">
        <is>
          <t>Pasta espagueti</t>
        </is>
      </c>
      <c r="D18" s="34" t="n">
        <v>15</v>
      </c>
      <c r="E18" s="34" t="inlineStr">
        <is>
          <t>Paq 400g</t>
        </is>
      </c>
      <c r="F18" s="20" t="n">
        <v>42</v>
      </c>
      <c r="G18" s="20">
        <f>D18*F18</f>
        <v/>
      </c>
      <c r="H18" s="21">
        <f>G18/SUM($G$5:$G$74)</f>
        <v/>
      </c>
      <c r="I18" s="17" t="inlineStr">
        <is>
          <t>Nacional/Jumbo</t>
        </is>
      </c>
      <c r="J18" s="28" t="inlineStr">
        <is>
          <t>Estimado</t>
        </is>
      </c>
      <c r="K18" s="34" t="inlineStr">
        <is>
          <t>N</t>
        </is>
      </c>
      <c r="L18" s="17" t="inlineStr">
        <is>
          <t>Milano 400g 41.95</t>
        </is>
      </c>
      <c r="N18" s="17" t="inlineStr">
        <is>
          <t>Proteína</t>
        </is>
      </c>
      <c r="O18" s="20">
        <f>SUMIFS($G$5:$G$74,$A$5:$A$74,"2 · Cocina",$B$5:$B$74,N18)</f>
        <v/>
      </c>
    </row>
    <row r="19">
      <c r="A19" s="17" t="inlineStr">
        <is>
          <t>2 · Cocina</t>
        </is>
      </c>
      <c r="B19" s="17" t="inlineStr">
        <is>
          <t>Víveres/Grano</t>
        </is>
      </c>
      <c r="C19" s="17" t="inlineStr">
        <is>
          <t>Espirales pasta</t>
        </is>
      </c>
      <c r="D19" s="34" t="n">
        <v>8</v>
      </c>
      <c r="E19" s="34" t="inlineStr">
        <is>
          <t>Paq 400g</t>
        </is>
      </c>
      <c r="F19" s="20" t="n">
        <v>42</v>
      </c>
      <c r="G19" s="20">
        <f>D19*F19</f>
        <v/>
      </c>
      <c r="H19" s="21">
        <f>G19/SUM($G$5:$G$74)</f>
        <v/>
      </c>
      <c r="I19" s="17" t="inlineStr">
        <is>
          <t>Nacional/Jumbo</t>
        </is>
      </c>
      <c r="J19" s="28" t="inlineStr">
        <is>
          <t>Estimado</t>
        </is>
      </c>
      <c r="K19" s="34" t="inlineStr">
        <is>
          <t>N</t>
        </is>
      </c>
      <c r="L19" s="17" t="inlineStr">
        <is>
          <t>Milano coditos 41.95</t>
        </is>
      </c>
      <c r="N19" s="17" t="inlineStr">
        <is>
          <t>Lácteo/Huevo</t>
        </is>
      </c>
      <c r="O19" s="20">
        <f>SUMIFS($G$5:$G$74,$A$5:$A$74,"2 · Cocina",$B$5:$B$74,N19)</f>
        <v/>
      </c>
    </row>
    <row r="20">
      <c r="A20" s="17" t="inlineStr">
        <is>
          <t>2 · Cocina</t>
        </is>
      </c>
      <c r="B20" s="17" t="inlineStr">
        <is>
          <t>Lácteo/Huevo</t>
        </is>
      </c>
      <c r="C20" s="17" t="inlineStr">
        <is>
          <t>Leche entera</t>
        </is>
      </c>
      <c r="D20" s="34" t="n">
        <v>5</v>
      </c>
      <c r="E20" s="34" t="inlineStr">
        <is>
          <t>Caja 12L</t>
        </is>
      </c>
      <c r="F20" s="20" t="n">
        <v>912</v>
      </c>
      <c r="G20" s="20">
        <f>D20*F20</f>
        <v/>
      </c>
      <c r="H20" s="21">
        <f>G20/SUM($G$5:$G$74)</f>
        <v/>
      </c>
      <c r="I20" s="17" t="inlineStr">
        <is>
          <t>PriceSmart/Jumbo</t>
        </is>
      </c>
      <c r="J20" s="28" t="inlineStr">
        <is>
          <t>Estimado</t>
        </is>
      </c>
      <c r="K20" s="34" t="inlineStr">
        <is>
          <t>N</t>
        </is>
      </c>
      <c r="L20" s="17" t="inlineStr">
        <is>
          <t>Listamilk Rica ~76/L → ~912 (ESTIMADO)</t>
        </is>
      </c>
      <c r="N20" s="17" t="inlineStr">
        <is>
          <t>Víveres/Grano</t>
        </is>
      </c>
      <c r="O20" s="20">
        <f>SUMIFS($G$5:$G$74,$A$5:$A$74,"2 · Cocina",$B$5:$B$74,N20)</f>
        <v/>
      </c>
    </row>
    <row r="21">
      <c r="A21" s="17" t="inlineStr">
        <is>
          <t>2 · Cocina</t>
        </is>
      </c>
      <c r="B21" s="17" t="inlineStr">
        <is>
          <t>Lácteo/Huevo</t>
        </is>
      </c>
      <c r="C21" s="17" t="inlineStr">
        <is>
          <t>Leche evaporada</t>
        </is>
      </c>
      <c r="D21" s="34" t="n">
        <v>15</v>
      </c>
      <c r="E21" s="34" t="inlineStr">
        <is>
          <t>Lata 315g</t>
        </is>
      </c>
      <c r="F21" s="20" t="n">
        <v>67</v>
      </c>
      <c r="G21" s="20">
        <f>D21*F21</f>
        <v/>
      </c>
      <c r="H21" s="21">
        <f>G21/SUM($G$5:$G$74)</f>
        <v/>
      </c>
      <c r="I21" s="17" t="inlineStr">
        <is>
          <t>Jumbo/Nacional</t>
        </is>
      </c>
      <c r="J21" s="28" t="inlineStr">
        <is>
          <t>Estimado</t>
        </is>
      </c>
      <c r="K21" s="34" t="inlineStr">
        <is>
          <t>N</t>
        </is>
      </c>
      <c r="L21" s="17" t="inlineStr">
        <is>
          <t>Carnation 66.95</t>
        </is>
      </c>
      <c r="N21" s="17" t="inlineStr">
        <is>
          <t>Vegetal/Fruta</t>
        </is>
      </c>
      <c r="O21" s="20">
        <f>SUMIFS($G$5:$G$74,$A$5:$A$74,"2 · Cocina",$B$5:$B$74,N21)</f>
        <v/>
      </c>
    </row>
    <row r="22">
      <c r="A22" s="17" t="inlineStr">
        <is>
          <t>2 · Cocina</t>
        </is>
      </c>
      <c r="B22" s="17" t="inlineStr">
        <is>
          <t>Bebida/Café</t>
        </is>
      </c>
      <c r="C22" s="17" t="inlineStr">
        <is>
          <t>Café Santo Domingo 1lb</t>
        </is>
      </c>
      <c r="D22" s="34" t="n">
        <v>8</v>
      </c>
      <c r="E22" s="34" t="inlineStr">
        <is>
          <t>Paq 1lb</t>
        </is>
      </c>
      <c r="F22" s="20" t="n">
        <v>419</v>
      </c>
      <c r="G22" s="20">
        <f>D22*F22</f>
        <v/>
      </c>
      <c r="H22" s="21">
        <f>G22/SUM($G$5:$G$74)</f>
        <v/>
      </c>
      <c r="I22" s="17" t="inlineStr">
        <is>
          <t>Jumbo</t>
        </is>
      </c>
      <c r="J22" s="28" t="inlineStr">
        <is>
          <t>Estimado</t>
        </is>
      </c>
      <c r="K22" s="34" t="inlineStr">
        <is>
          <t>S</t>
        </is>
      </c>
      <c r="L22" s="17" t="inlineStr">
        <is>
          <t>418.95 (oferta 399). ⚠️ buscar donación</t>
        </is>
      </c>
      <c r="N22" s="17" t="inlineStr">
        <is>
          <t>Aceite/Grasa</t>
        </is>
      </c>
      <c r="O22" s="20">
        <f>SUMIFS($G$5:$G$74,$A$5:$A$74,"2 · Cocina",$B$5:$B$74,N22)</f>
        <v/>
      </c>
    </row>
    <row r="23">
      <c r="A23" s="17" t="inlineStr">
        <is>
          <t>2 · Cocina</t>
        </is>
      </c>
      <c r="B23" s="17" t="inlineStr">
        <is>
          <t>Víveres/Grano</t>
        </is>
      </c>
      <c r="C23" s="17" t="inlineStr">
        <is>
          <t>Azúcar crema</t>
        </is>
      </c>
      <c r="D23" s="34" t="n">
        <v>4</v>
      </c>
      <c r="E23" s="34" t="inlineStr">
        <is>
          <t>Paq 5lb</t>
        </is>
      </c>
      <c r="F23" s="20" t="n">
        <v>157</v>
      </c>
      <c r="G23" s="20">
        <f>D23*F23</f>
        <v/>
      </c>
      <c r="H23" s="21">
        <f>G23/SUM($G$5:$G$74)</f>
        <v/>
      </c>
      <c r="I23" s="17" t="inlineStr">
        <is>
          <t>Jumbo/Nacional</t>
        </is>
      </c>
      <c r="J23" s="28" t="inlineStr">
        <is>
          <t>Estimado</t>
        </is>
      </c>
      <c r="K23" s="34" t="inlineStr">
        <is>
          <t>N</t>
        </is>
      </c>
      <c r="L23" s="17" t="inlineStr">
        <is>
          <t>Líder 157 / Nacional 150. ↓ vs 170</t>
        </is>
      </c>
      <c r="N23" s="17" t="inlineStr">
        <is>
          <t>Condimento</t>
        </is>
      </c>
      <c r="O23" s="20">
        <f>SUMIFS($G$5:$G$74,$A$5:$A$74,"2 · Cocina",$B$5:$B$74,N23)</f>
        <v/>
      </c>
    </row>
    <row r="24">
      <c r="A24" s="17" t="inlineStr">
        <is>
          <t>2 · Cocina</t>
        </is>
      </c>
      <c r="B24" s="17" t="inlineStr">
        <is>
          <t>Litúrgico</t>
        </is>
      </c>
      <c r="C24" s="17" t="inlineStr">
        <is>
          <t>Vino la Fuerza (litúrgico)</t>
        </is>
      </c>
      <c r="D24" s="34" t="n">
        <v>2</v>
      </c>
      <c r="E24" s="34" t="inlineStr">
        <is>
          <t>Galón</t>
        </is>
      </c>
      <c r="F24" s="20" t="n">
        <v>525</v>
      </c>
      <c r="G24" s="20">
        <f>D24*F24</f>
        <v/>
      </c>
      <c r="H24" s="21">
        <f>G24/SUM($G$5:$G$74)</f>
        <v/>
      </c>
      <c r="I24" s="17" t="inlineStr">
        <is>
          <t>Nacional/BebidasRD</t>
        </is>
      </c>
      <c r="J24" s="28" t="inlineStr">
        <is>
          <t>Estimado</t>
        </is>
      </c>
      <c r="K24" s="34" t="inlineStr">
        <is>
          <t>S</t>
        </is>
      </c>
      <c r="L24" s="17" t="inlineStr">
        <is>
          <t>1gl ~525-550; ½gl 399; 70cl 235. Donable parroquia</t>
        </is>
      </c>
      <c r="N24" s="17" t="inlineStr">
        <is>
          <t>Bebida/Café</t>
        </is>
      </c>
      <c r="O24" s="20">
        <f>SUMIFS($G$5:$G$74,$A$5:$A$74,"2 · Cocina",$B$5:$B$74,N24)</f>
        <v/>
      </c>
    </row>
    <row r="25">
      <c r="A25" s="17" t="inlineStr">
        <is>
          <t>2 · Cocina</t>
        </is>
      </c>
      <c r="B25" s="17" t="inlineStr">
        <is>
          <t>Aceite/Grasa</t>
        </is>
      </c>
      <c r="C25" s="17" t="inlineStr">
        <is>
          <t>Mayonesa Baldom</t>
        </is>
      </c>
      <c r="D25" s="34" t="n">
        <v>2</v>
      </c>
      <c r="E25" s="34" t="inlineStr">
        <is>
          <t>Galón</t>
        </is>
      </c>
      <c r="F25" s="20" t="n">
        <v>795</v>
      </c>
      <c r="G25" s="20">
        <f>D25*F25</f>
        <v/>
      </c>
      <c r="H25" s="21">
        <f>G25/SUM($G$5:$G$74)</f>
        <v/>
      </c>
      <c r="I25" s="17" t="inlineStr">
        <is>
          <t>S.Nacional</t>
        </is>
      </c>
      <c r="J25" s="28" t="inlineStr">
        <is>
          <t>Estimado</t>
        </is>
      </c>
      <c r="K25" s="34" t="inlineStr">
        <is>
          <t>N</t>
        </is>
      </c>
      <c r="L25" s="17" t="inlineStr">
        <is>
          <t>⚠️ 794.95 (subió fuerte vs 550)</t>
        </is>
      </c>
      <c r="N25" s="17" t="inlineStr">
        <is>
          <t>Pan/Snack/Dulce</t>
        </is>
      </c>
      <c r="O25" s="20">
        <f>SUMIFS($G$5:$G$74,$A$5:$A$74,"2 · Cocina",$B$5:$B$74,N25)</f>
        <v/>
      </c>
    </row>
    <row r="26">
      <c r="A26" s="17" t="inlineStr">
        <is>
          <t>2 · Cocina</t>
        </is>
      </c>
      <c r="B26" s="17" t="inlineStr">
        <is>
          <t>Aceite/Grasa</t>
        </is>
      </c>
      <c r="C26" s="17" t="inlineStr">
        <is>
          <t>Aceite de freír</t>
        </is>
      </c>
      <c r="D26" s="34" t="n">
        <v>1</v>
      </c>
      <c r="E26" s="34" t="inlineStr">
        <is>
          <t>Galón 128oz</t>
        </is>
      </c>
      <c r="F26" s="20" t="n">
        <v>634</v>
      </c>
      <c r="G26" s="20">
        <f>D26*F26</f>
        <v/>
      </c>
      <c r="H26" s="21">
        <f>G26/SUM($G$5:$G$74)</f>
        <v/>
      </c>
      <c r="I26" s="17" t="inlineStr">
        <is>
          <t>Jumbo/Nacional</t>
        </is>
      </c>
      <c r="J26" s="28" t="inlineStr">
        <is>
          <t>Estimado</t>
        </is>
      </c>
      <c r="K26" s="34" t="inlineStr">
        <is>
          <t>S</t>
        </is>
      </c>
      <c r="L26" s="17" t="inlineStr">
        <is>
          <t>Crisol 128oz 634</t>
        </is>
      </c>
      <c r="N26" s="17" t="inlineStr">
        <is>
          <t>Litúrgico</t>
        </is>
      </c>
      <c r="O26" s="20">
        <f>SUMIFS($G$5:$G$74,$A$5:$A$74,"2 · Cocina",$B$5:$B$74,N26)</f>
        <v/>
      </c>
    </row>
    <row r="27">
      <c r="A27" s="17" t="inlineStr">
        <is>
          <t>2 · Cocina</t>
        </is>
      </c>
      <c r="B27" s="17" t="inlineStr">
        <is>
          <t>Lácteo/Huevo</t>
        </is>
      </c>
      <c r="C27" s="17" t="inlineStr">
        <is>
          <t>Crema de leche</t>
        </is>
      </c>
      <c r="D27" s="34" t="n">
        <v>5</v>
      </c>
      <c r="E27" s="34" t="inlineStr">
        <is>
          <t>Lata 300g</t>
        </is>
      </c>
      <c r="F27" s="20" t="n">
        <v>150</v>
      </c>
      <c r="G27" s="20">
        <f>D27*F27</f>
        <v/>
      </c>
      <c r="H27" s="21">
        <f>G27/SUM($G$5:$G$74)</f>
        <v/>
      </c>
      <c r="I27" s="17" t="inlineStr">
        <is>
          <t>S.Nacional</t>
        </is>
      </c>
      <c r="J27" s="28" t="inlineStr">
        <is>
          <t>Estimado</t>
        </is>
      </c>
      <c r="K27" s="34" t="inlineStr">
        <is>
          <t>N</t>
        </is>
      </c>
      <c r="L27" s="17" t="inlineStr">
        <is>
          <t>Nestlé 300g 149.95. ↓ vs 300</t>
        </is>
      </c>
      <c r="N27" s="17" t="inlineStr">
        <is>
          <t>Limpieza</t>
        </is>
      </c>
      <c r="O27" s="20">
        <f>SUMIFS($G$5:$G$74,$A$5:$A$74,"2 · Cocina",$B$5:$B$74,N27)</f>
        <v/>
      </c>
    </row>
    <row r="28">
      <c r="A28" s="17" t="inlineStr">
        <is>
          <t>2 · Cocina</t>
        </is>
      </c>
      <c r="B28" s="17" t="inlineStr">
        <is>
          <t>Víveres/Grano</t>
        </is>
      </c>
      <c r="C28" s="17" t="inlineStr">
        <is>
          <t>Harina de trigo</t>
        </is>
      </c>
      <c r="D28" s="34" t="n">
        <v>20</v>
      </c>
      <c r="E28" s="34" t="inlineStr">
        <is>
          <t>Libra</t>
        </is>
      </c>
      <c r="F28" s="20" t="n">
        <v>42</v>
      </c>
      <c r="G28" s="20">
        <f>D28*F28</f>
        <v/>
      </c>
      <c r="H28" s="21">
        <f>G28/SUM($G$5:$G$74)</f>
        <v/>
      </c>
      <c r="I28" s="17" t="inlineStr">
        <is>
          <t>S.Nacional</t>
        </is>
      </c>
      <c r="J28" s="28" t="inlineStr">
        <is>
          <t>Estimado</t>
        </is>
      </c>
      <c r="K28" s="34" t="inlineStr">
        <is>
          <t>N</t>
        </is>
      </c>
      <c r="L28" s="17" t="inlineStr">
        <is>
          <t>Blanquita 2lb 83.95 → ~42/lb</t>
        </is>
      </c>
      <c r="N28" s="17" t="inlineStr">
        <is>
          <t>Desechable</t>
        </is>
      </c>
      <c r="O28" s="20">
        <f>SUMIFS($G$5:$G$74,$A$5:$A$74,"2 · Cocina",$B$5:$B$74,N28)</f>
        <v/>
      </c>
    </row>
    <row r="29">
      <c r="A29" s="17" t="inlineStr">
        <is>
          <t>2 · Cocina</t>
        </is>
      </c>
      <c r="B29" s="17" t="inlineStr">
        <is>
          <t>Pan/Snack/Dulce</t>
        </is>
      </c>
      <c r="C29" s="17" t="inlineStr">
        <is>
          <t>Galletas Guarina Salada</t>
        </is>
      </c>
      <c r="D29" s="34" t="n">
        <v>15</v>
      </c>
      <c r="E29" s="34" t="inlineStr">
        <is>
          <t>Paq 12</t>
        </is>
      </c>
      <c r="F29" s="20" t="n">
        <v>59</v>
      </c>
      <c r="G29" s="20">
        <f>D29*F29</f>
        <v/>
      </c>
      <c r="H29" s="21">
        <f>G29/SUM($G$5:$G$74)</f>
        <v/>
      </c>
      <c r="I29" s="17" t="inlineStr">
        <is>
          <t>S.Nacional</t>
        </is>
      </c>
      <c r="J29" s="28" t="inlineStr">
        <is>
          <t>Estimado</t>
        </is>
      </c>
      <c r="K29" s="34" t="inlineStr">
        <is>
          <t>N</t>
        </is>
      </c>
      <c r="L29" s="17" t="inlineStr">
        <is>
          <t>Saladitas 58.95</t>
        </is>
      </c>
      <c r="N29" s="17" t="inlineStr">
        <is>
          <t>Enlatado</t>
        </is>
      </c>
      <c r="O29" s="20">
        <f>SUMIFS($G$5:$G$74,$A$5:$A$74,"2 · Cocina",$B$5:$B$74,N29)</f>
        <v/>
      </c>
    </row>
    <row r="30">
      <c r="A30" s="17" t="inlineStr">
        <is>
          <t>2 · Cocina</t>
        </is>
      </c>
      <c r="B30" s="17" t="inlineStr">
        <is>
          <t>Pan/Snack/Dulce</t>
        </is>
      </c>
      <c r="C30" s="17" t="inlineStr">
        <is>
          <t>Galletas Guarina Dulce</t>
        </is>
      </c>
      <c r="D30" s="34" t="n">
        <v>15</v>
      </c>
      <c r="E30" s="34" t="inlineStr">
        <is>
          <t>Paq 12</t>
        </is>
      </c>
      <c r="F30" s="20" t="n">
        <v>81</v>
      </c>
      <c r="G30" s="20">
        <f>D30*F30</f>
        <v/>
      </c>
      <c r="H30" s="21">
        <f>G30/SUM($G$5:$G$74)</f>
        <v/>
      </c>
      <c r="I30" s="17" t="inlineStr">
        <is>
          <t>Casa Surtidora</t>
        </is>
      </c>
      <c r="J30" s="28" t="inlineStr">
        <is>
          <t>Estimado</t>
        </is>
      </c>
      <c r="K30" s="34" t="inlineStr">
        <is>
          <t>N</t>
        </is>
      </c>
      <c r="L30" s="17" t="inlineStr">
        <is>
          <t>Guarina Leche 12u 80.95. ↓ vs 115</t>
        </is>
      </c>
    </row>
    <row r="31">
      <c r="A31" s="17" t="inlineStr">
        <is>
          <t>2 · Cocina</t>
        </is>
      </c>
      <c r="B31" s="17" t="inlineStr">
        <is>
          <t>Bebida/Café</t>
        </is>
      </c>
      <c r="C31" s="17" t="inlineStr">
        <is>
          <t>Refrescos doble litro</t>
        </is>
      </c>
      <c r="D31" s="34" t="n">
        <v>14</v>
      </c>
      <c r="E31" s="34" t="inlineStr">
        <is>
          <t>Unidad 2L</t>
        </is>
      </c>
      <c r="F31" s="20" t="n">
        <v>92</v>
      </c>
      <c r="G31" s="20">
        <f>D31*F31</f>
        <v/>
      </c>
      <c r="H31" s="21">
        <f>G31/SUM($G$5:$G$74)</f>
        <v/>
      </c>
      <c r="I31" s="17" t="inlineStr">
        <is>
          <t>Nacional/Jumbo</t>
        </is>
      </c>
      <c r="J31" s="28" t="inlineStr">
        <is>
          <t>Estimado</t>
        </is>
      </c>
      <c r="K31" s="34" t="inlineStr">
        <is>
          <t>N</t>
        </is>
      </c>
      <c r="L31" s="17" t="inlineStr">
        <is>
          <t>Coca-Cola 2L 91.95</t>
        </is>
      </c>
    </row>
    <row r="32">
      <c r="A32" s="17" t="inlineStr">
        <is>
          <t>2 · Cocina</t>
        </is>
      </c>
      <c r="B32" s="17" t="inlineStr">
        <is>
          <t>Pan/Snack/Dulce</t>
        </is>
      </c>
      <c r="C32" s="17" t="inlineStr">
        <is>
          <t>Chocolate molido</t>
        </is>
      </c>
      <c r="D32" s="34" t="n">
        <v>6</v>
      </c>
      <c r="E32" s="34" t="inlineStr">
        <is>
          <t>Pote 200g</t>
        </is>
      </c>
      <c r="F32" s="20" t="n">
        <v>109</v>
      </c>
      <c r="G32" s="20">
        <f>D32*F32</f>
        <v/>
      </c>
      <c r="H32" s="21">
        <f>G32/SUM($G$5:$G$74)</f>
        <v/>
      </c>
      <c r="I32" s="17" t="inlineStr">
        <is>
          <t>S.Nacional</t>
        </is>
      </c>
      <c r="J32" s="28" t="inlineStr">
        <is>
          <t>Estimado</t>
        </is>
      </c>
      <c r="K32" s="34" t="inlineStr">
        <is>
          <t>N</t>
        </is>
      </c>
      <c r="L32" s="17" t="inlineStr">
        <is>
          <t>Embajador molido 108.95. ↓ vs 175</t>
        </is>
      </c>
    </row>
    <row r="33">
      <c r="A33" s="17" t="inlineStr">
        <is>
          <t>2 · Cocina</t>
        </is>
      </c>
      <c r="B33" s="17" t="inlineStr">
        <is>
          <t>Bebida/Café</t>
        </is>
      </c>
      <c r="C33" s="17" t="inlineStr">
        <is>
          <t>Té frío (sobres)</t>
        </is>
      </c>
      <c r="D33" s="34" t="n">
        <v>4</v>
      </c>
      <c r="E33" s="34" t="inlineStr">
        <is>
          <t>Caja</t>
        </is>
      </c>
      <c r="F33" s="20" t="n">
        <v>470</v>
      </c>
      <c r="G33" s="20">
        <f>D33*F33</f>
        <v/>
      </c>
      <c r="H33" s="21">
        <f>G33/SUM($G$5:$G$74)</f>
        <v/>
      </c>
      <c r="I33" s="17" t="inlineStr">
        <is>
          <t>—</t>
        </is>
      </c>
      <c r="J33" s="28" t="inlineStr">
        <is>
          <t>Estimado</t>
        </is>
      </c>
      <c r="K33" s="34" t="inlineStr">
        <is>
          <t>N</t>
        </is>
      </c>
      <c r="L33" s="17" t="inlineStr">
        <is>
          <t>NO encontrado en cadenas; mantiene ref. VERIFICAR</t>
        </is>
      </c>
    </row>
    <row r="34">
      <c r="A34" s="17" t="inlineStr">
        <is>
          <t>2 · Cocina</t>
        </is>
      </c>
      <c r="B34" s="17" t="inlineStr">
        <is>
          <t>Pan/Snack/Dulce</t>
        </is>
      </c>
      <c r="C34" s="17" t="inlineStr">
        <is>
          <t>Pan baguette</t>
        </is>
      </c>
      <c r="D34" s="34" t="n">
        <v>40</v>
      </c>
      <c r="E34" s="34" t="inlineStr">
        <is>
          <t>Unidad</t>
        </is>
      </c>
      <c r="F34" s="20" t="n">
        <v>50</v>
      </c>
      <c r="G34" s="20">
        <f>D34*F34</f>
        <v/>
      </c>
      <c r="H34" s="21">
        <f>G34/SUM($G$5:$G$74)</f>
        <v/>
      </c>
      <c r="I34" s="17" t="inlineStr">
        <is>
          <t>La Panera</t>
        </is>
      </c>
      <c r="J34" s="28" t="inlineStr">
        <is>
          <t>Estimado</t>
        </is>
      </c>
      <c r="K34" s="34" t="inlineStr">
        <is>
          <t>N</t>
        </is>
      </c>
      <c r="L34" s="17" t="inlineStr">
        <is>
          <t>Sobao La Panera 10u=60 (~6/u) alt.</t>
        </is>
      </c>
    </row>
    <row r="35">
      <c r="A35" s="17" t="inlineStr">
        <is>
          <t>2 · Cocina</t>
        </is>
      </c>
      <c r="B35" s="17" t="inlineStr">
        <is>
          <t>Pan/Snack/Dulce</t>
        </is>
      </c>
      <c r="C35" s="17" t="inlineStr">
        <is>
          <t>Pan rebanado grande</t>
        </is>
      </c>
      <c r="D35" s="34" t="n">
        <v>4</v>
      </c>
      <c r="E35" s="34" t="inlineStr">
        <is>
          <t>Funda</t>
        </is>
      </c>
      <c r="F35" s="20" t="n">
        <v>215</v>
      </c>
      <c r="G35" s="20">
        <f>D35*F35</f>
        <v/>
      </c>
      <c r="H35" s="21">
        <f>G35/SUM($G$5:$G$74)</f>
        <v/>
      </c>
      <c r="I35" s="17" t="inlineStr">
        <is>
          <t>S.Nacional</t>
        </is>
      </c>
      <c r="J35" s="28" t="inlineStr">
        <is>
          <t>Estimado</t>
        </is>
      </c>
      <c r="K35" s="34" t="inlineStr">
        <is>
          <t>N</t>
        </is>
      </c>
      <c r="L35" s="17" t="inlineStr">
        <is>
          <t>Lumijor/molde 214.95-274.95. ↑ vs 120</t>
        </is>
      </c>
    </row>
    <row r="36">
      <c r="A36" s="17" t="inlineStr">
        <is>
          <t>2 · Cocina</t>
        </is>
      </c>
      <c r="B36" s="17" t="inlineStr">
        <is>
          <t>Limpieza</t>
        </is>
      </c>
      <c r="C36" s="17" t="inlineStr">
        <is>
          <t>Papel de baño</t>
        </is>
      </c>
      <c r="D36" s="34" t="n">
        <v>2</v>
      </c>
      <c r="E36" s="34" t="inlineStr">
        <is>
          <t>Fardo 24</t>
        </is>
      </c>
      <c r="F36" s="20" t="n">
        <v>360</v>
      </c>
      <c r="G36" s="20">
        <f>D36*F36</f>
        <v/>
      </c>
      <c r="H36" s="21">
        <f>G36/SUM($G$5:$G$74)</f>
        <v/>
      </c>
      <c r="I36" s="17" t="inlineStr">
        <is>
          <t>S.Nacional</t>
        </is>
      </c>
      <c r="J36" s="28" t="inlineStr">
        <is>
          <t>Estimado</t>
        </is>
      </c>
      <c r="K36" s="34" t="inlineStr">
        <is>
          <t>N</t>
        </is>
      </c>
      <c r="L36" s="17" t="inlineStr">
        <is>
          <t>Líder 24u 359.95 (oferta 304.95). ↓ vs 475</t>
        </is>
      </c>
    </row>
    <row r="37">
      <c r="A37" s="17" t="inlineStr">
        <is>
          <t>2 · Cocina</t>
        </is>
      </c>
      <c r="B37" s="17" t="inlineStr">
        <is>
          <t>Limpieza</t>
        </is>
      </c>
      <c r="C37" s="17" t="inlineStr">
        <is>
          <t>Mistolín</t>
        </is>
      </c>
      <c r="D37" s="34" t="n">
        <v>2</v>
      </c>
      <c r="E37" s="34" t="inlineStr">
        <is>
          <t>Galón</t>
        </is>
      </c>
      <c r="F37" s="20" t="n">
        <v>335</v>
      </c>
      <c r="G37" s="20">
        <f>D37*F37</f>
        <v/>
      </c>
      <c r="H37" s="21">
        <f>G37/SUM($G$5:$G$74)</f>
        <v/>
      </c>
      <c r="I37" s="17" t="inlineStr">
        <is>
          <t>S.Nacional</t>
        </is>
      </c>
      <c r="J37" s="28" t="inlineStr">
        <is>
          <t>Estimado</t>
        </is>
      </c>
      <c r="K37" s="34" t="inlineStr">
        <is>
          <t>N</t>
        </is>
      </c>
      <c r="L37" s="17" t="inlineStr">
        <is>
          <t>Mistolín 1gl 334.95</t>
        </is>
      </c>
    </row>
    <row r="38">
      <c r="A38" s="17" t="inlineStr">
        <is>
          <t>2 · Cocina</t>
        </is>
      </c>
      <c r="B38" s="17" t="inlineStr">
        <is>
          <t>Limpieza</t>
        </is>
      </c>
      <c r="C38" s="17" t="inlineStr">
        <is>
          <t>Cloro</t>
        </is>
      </c>
      <c r="D38" s="34" t="n">
        <v>2</v>
      </c>
      <c r="E38" s="34" t="inlineStr">
        <is>
          <t>Galón</t>
        </is>
      </c>
      <c r="F38" s="20" t="n">
        <v>135</v>
      </c>
      <c r="G38" s="20">
        <f>D38*F38</f>
        <v/>
      </c>
      <c r="H38" s="21">
        <f>G38/SUM($G$5:$G$74)</f>
        <v/>
      </c>
      <c r="I38" s="17" t="inlineStr">
        <is>
          <t>Plaza Lama/Jumbo</t>
        </is>
      </c>
      <c r="J38" s="28" t="inlineStr">
        <is>
          <t>Estimado</t>
        </is>
      </c>
      <c r="K38" s="34" t="inlineStr">
        <is>
          <t>N</t>
        </is>
      </c>
      <c r="L38" s="17" t="inlineStr">
        <is>
          <t>Líder/Macier 1gl ~129-140</t>
        </is>
      </c>
    </row>
    <row r="39">
      <c r="A39" s="17" t="inlineStr">
        <is>
          <t>2 · Cocina</t>
        </is>
      </c>
      <c r="B39" s="17" t="inlineStr">
        <is>
          <t>Limpieza</t>
        </is>
      </c>
      <c r="C39" s="17" t="inlineStr">
        <is>
          <t>Escoba</t>
        </is>
      </c>
      <c r="D39" s="34" t="n">
        <v>3</v>
      </c>
      <c r="E39" s="34" t="inlineStr">
        <is>
          <t>Unidad</t>
        </is>
      </c>
      <c r="F39" s="20" t="n">
        <v>170</v>
      </c>
      <c r="G39" s="20">
        <f>D39*F39</f>
        <v/>
      </c>
      <c r="H39" s="21">
        <f>G39/SUM($G$5:$G$74)</f>
        <v/>
      </c>
      <c r="I39" s="17" t="inlineStr">
        <is>
          <t>S.Nacional</t>
        </is>
      </c>
      <c r="J39" s="28" t="inlineStr">
        <is>
          <t>Estimado</t>
        </is>
      </c>
      <c r="K39" s="34" t="inlineStr">
        <is>
          <t>S</t>
        </is>
      </c>
      <c r="L39" s="17" t="inlineStr">
        <is>
          <t>Escoba Líder ~170; pedir prestada</t>
        </is>
      </c>
    </row>
    <row r="40">
      <c r="A40" s="17" t="inlineStr">
        <is>
          <t>2 · Cocina</t>
        </is>
      </c>
      <c r="B40" s="17" t="inlineStr">
        <is>
          <t>Limpieza</t>
        </is>
      </c>
      <c r="C40" s="17" t="inlineStr">
        <is>
          <t>Suape</t>
        </is>
      </c>
      <c r="D40" s="34" t="n">
        <v>3</v>
      </c>
      <c r="E40" s="34" t="inlineStr">
        <is>
          <t>Unidad</t>
        </is>
      </c>
      <c r="F40" s="20" t="n">
        <v>220</v>
      </c>
      <c r="G40" s="20">
        <f>D40*F40</f>
        <v/>
      </c>
      <c r="H40" s="21">
        <f>G40/SUM($G$5:$G$74)</f>
        <v/>
      </c>
      <c r="I40" s="17" t="inlineStr">
        <is>
          <t>S.Nacional</t>
        </is>
      </c>
      <c r="J40" s="28" t="inlineStr">
        <is>
          <t>Estimado</t>
        </is>
      </c>
      <c r="K40" s="34" t="inlineStr">
        <is>
          <t>S</t>
        </is>
      </c>
      <c r="L40" s="17" t="inlineStr">
        <is>
          <t>Suaper Líder ~220; pedir prestada</t>
        </is>
      </c>
    </row>
    <row r="41">
      <c r="A41" s="17" t="inlineStr">
        <is>
          <t>2 · Cocina</t>
        </is>
      </c>
      <c r="B41" s="17" t="inlineStr">
        <is>
          <t>Limpieza</t>
        </is>
      </c>
      <c r="C41" s="17" t="inlineStr">
        <is>
          <t>Esponja de fregar</t>
        </is>
      </c>
      <c r="D41" s="34" t="n">
        <v>6</v>
      </c>
      <c r="E41" s="34" t="inlineStr">
        <is>
          <t>Unidad</t>
        </is>
      </c>
      <c r="F41" s="20" t="n">
        <v>35</v>
      </c>
      <c r="G41" s="20">
        <f>D41*F41</f>
        <v/>
      </c>
      <c r="H41" s="21">
        <f>G41/SUM($G$5:$G$74)</f>
        <v/>
      </c>
      <c r="I41" s="17" t="inlineStr">
        <is>
          <t>S.Nacional</t>
        </is>
      </c>
      <c r="J41" s="28" t="inlineStr">
        <is>
          <t>Estimado</t>
        </is>
      </c>
      <c r="K41" s="34" t="inlineStr">
        <is>
          <t>N</t>
        </is>
      </c>
      <c r="L41" s="17" t="inlineStr">
        <is>
          <t>Scotch Brite pack; ~35 suelta</t>
        </is>
      </c>
    </row>
    <row r="42">
      <c r="A42" s="17" t="inlineStr">
        <is>
          <t>2 · Cocina</t>
        </is>
      </c>
      <c r="B42" s="17" t="inlineStr">
        <is>
          <t>Limpieza</t>
        </is>
      </c>
      <c r="C42" s="17" t="inlineStr">
        <is>
          <t>Jabón de fregar</t>
        </is>
      </c>
      <c r="D42" s="34" t="n">
        <v>2</v>
      </c>
      <c r="E42" s="34" t="inlineStr">
        <is>
          <t>Paquete</t>
        </is>
      </c>
      <c r="F42" s="20" t="n">
        <v>130</v>
      </c>
      <c r="G42" s="20">
        <f>D42*F42</f>
        <v/>
      </c>
      <c r="H42" s="21">
        <f>G42/SUM($G$5:$G$74)</f>
        <v/>
      </c>
      <c r="I42" s="17" t="inlineStr">
        <is>
          <t>Asi.do</t>
        </is>
      </c>
      <c r="J42" s="28" t="inlineStr">
        <is>
          <t>Estimado</t>
        </is>
      </c>
      <c r="K42" s="34" t="inlineStr">
        <is>
          <t>N</t>
        </is>
      </c>
      <c r="L42" s="17" t="inlineStr">
        <is>
          <t>Bolazul grande ~110-170</t>
        </is>
      </c>
    </row>
    <row r="43">
      <c r="A43" s="17" t="inlineStr">
        <is>
          <t>2 · Cocina</t>
        </is>
      </c>
      <c r="B43" s="17" t="inlineStr">
        <is>
          <t>Desechable</t>
        </is>
      </c>
      <c r="C43" s="17" t="inlineStr">
        <is>
          <t>Bandejas desechables</t>
        </is>
      </c>
      <c r="D43" s="34" t="n">
        <v>10</v>
      </c>
      <c r="E43" s="34" t="inlineStr">
        <is>
          <t>Unidad</t>
        </is>
      </c>
      <c r="F43" s="20" t="n">
        <v>90</v>
      </c>
      <c r="G43" s="20">
        <f>D43*F43</f>
        <v/>
      </c>
      <c r="H43" s="21">
        <f>G43/SUM($G$5:$G$74)</f>
        <v/>
      </c>
      <c r="I43" s="17" t="inlineStr">
        <is>
          <t>Los Castillos</t>
        </is>
      </c>
      <c r="J43" s="28" t="inlineStr">
        <is>
          <t>Estimado</t>
        </is>
      </c>
      <c r="K43" s="34" t="inlineStr">
        <is>
          <t>S</t>
        </is>
      </c>
      <c r="L43" s="17" t="inlineStr">
        <is>
          <t>Aluminio grande 90/u; préstamo</t>
        </is>
      </c>
    </row>
    <row r="44">
      <c r="A44" s="17" t="inlineStr">
        <is>
          <t>2 · Cocina</t>
        </is>
      </c>
      <c r="B44" s="17" t="inlineStr">
        <is>
          <t>Desechable</t>
        </is>
      </c>
      <c r="C44" s="17" t="inlineStr">
        <is>
          <t>Tenedores</t>
        </is>
      </c>
      <c r="D44" s="34" t="n">
        <v>8</v>
      </c>
      <c r="E44" s="34" t="inlineStr">
        <is>
          <t>Paq 25</t>
        </is>
      </c>
      <c r="F44" s="20" t="n">
        <v>55</v>
      </c>
      <c r="G44" s="20">
        <f>D44*F44</f>
        <v/>
      </c>
      <c r="H44" s="21">
        <f>G44/SUM($G$5:$G$74)</f>
        <v/>
      </c>
      <c r="I44" s="17" t="inlineStr">
        <is>
          <t>S.Nacional</t>
        </is>
      </c>
      <c r="J44" s="28" t="inlineStr">
        <is>
          <t>Estimado</t>
        </is>
      </c>
      <c r="K44" s="34" t="inlineStr">
        <is>
          <t>N</t>
        </is>
      </c>
      <c r="L44" s="17" t="inlineStr">
        <is>
          <t>Termo Envases 25u 54.95</t>
        </is>
      </c>
    </row>
    <row r="45">
      <c r="A45" s="17" t="inlineStr">
        <is>
          <t>2 · Cocina</t>
        </is>
      </c>
      <c r="B45" s="17" t="inlineStr">
        <is>
          <t>Desechable</t>
        </is>
      </c>
      <c r="C45" s="17" t="inlineStr">
        <is>
          <t>Vasos 7 Oz</t>
        </is>
      </c>
      <c r="D45" s="34" t="n">
        <v>12</v>
      </c>
      <c r="E45" s="34" t="inlineStr">
        <is>
          <t>Paq 50</t>
        </is>
      </c>
      <c r="F45" s="20" t="n">
        <v>81</v>
      </c>
      <c r="G45" s="20">
        <f>D45*F45</f>
        <v/>
      </c>
      <c r="H45" s="21">
        <f>G45/SUM($G$5:$G$74)</f>
        <v/>
      </c>
      <c r="I45" s="17" t="inlineStr">
        <is>
          <t>S.Nacional</t>
        </is>
      </c>
      <c r="J45" s="28" t="inlineStr">
        <is>
          <t>Estimado</t>
        </is>
      </c>
      <c r="K45" s="34" t="inlineStr">
        <is>
          <t>N</t>
        </is>
      </c>
      <c r="L45" s="17" t="inlineStr">
        <is>
          <t>Termo Envases 50u 80.95</t>
        </is>
      </c>
    </row>
    <row r="46">
      <c r="A46" s="17" t="inlineStr">
        <is>
          <t>2 · Cocina</t>
        </is>
      </c>
      <c r="B46" s="17" t="inlineStr">
        <is>
          <t>Víveres/Grano</t>
        </is>
      </c>
      <c r="C46" s="17" t="inlineStr">
        <is>
          <t>Arroz</t>
        </is>
      </c>
      <c r="D46" s="34" t="n">
        <v>30</v>
      </c>
      <c r="E46" s="34" t="inlineStr">
        <is>
          <t>Libra</t>
        </is>
      </c>
      <c r="F46" s="20" t="n">
        <v>40</v>
      </c>
      <c r="G46" s="20">
        <f>D46*F46</f>
        <v/>
      </c>
      <c r="H46" s="21">
        <f>G46/SUM($G$5:$G$74)</f>
        <v/>
      </c>
      <c r="I46" s="17" t="inlineStr">
        <is>
          <t>S.Nacional</t>
        </is>
      </c>
      <c r="J46" s="28" t="inlineStr">
        <is>
          <t>Estimado</t>
        </is>
      </c>
      <c r="K46" s="34" t="inlineStr">
        <is>
          <t>S</t>
        </is>
      </c>
      <c r="L46" s="17" t="inlineStr">
        <is>
          <t>Líder ~33/lb; Premium ~47/lb. Donable</t>
        </is>
      </c>
    </row>
    <row r="47">
      <c r="A47" s="17" t="inlineStr">
        <is>
          <t>2 · Cocina</t>
        </is>
      </c>
      <c r="B47" s="17" t="inlineStr">
        <is>
          <t>Víveres/Grano</t>
        </is>
      </c>
      <c r="C47" s="17" t="inlineStr">
        <is>
          <t>Habichuelas</t>
        </is>
      </c>
      <c r="D47" s="34" t="n">
        <v>15</v>
      </c>
      <c r="E47" s="34" t="inlineStr">
        <is>
          <t>Libra</t>
        </is>
      </c>
      <c r="F47" s="20" t="n">
        <v>73</v>
      </c>
      <c r="G47" s="20">
        <f>D47*F47</f>
        <v/>
      </c>
      <c r="H47" s="21">
        <f>G47/SUM($G$5:$G$74)</f>
        <v/>
      </c>
      <c r="I47" s="17" t="inlineStr">
        <is>
          <t>S.Nacional</t>
        </is>
      </c>
      <c r="J47" s="28" t="inlineStr">
        <is>
          <t>Estimado</t>
        </is>
      </c>
      <c r="K47" s="34" t="inlineStr">
        <is>
          <t>S</t>
        </is>
      </c>
      <c r="L47" s="17" t="inlineStr">
        <is>
          <t>⚠️ Líder 800g 129 → ~73/lb. Donable</t>
        </is>
      </c>
    </row>
    <row r="48">
      <c r="A48" s="17" t="inlineStr">
        <is>
          <t>2 · Cocina</t>
        </is>
      </c>
      <c r="B48" s="17" t="inlineStr">
        <is>
          <t>Condimento</t>
        </is>
      </c>
      <c r="C48" s="17" t="inlineStr">
        <is>
          <t>Salsa Prego roja</t>
        </is>
      </c>
      <c r="D48" s="34" t="n">
        <v>3</v>
      </c>
      <c r="E48" s="34" t="inlineStr">
        <is>
          <t>Pote 24oz</t>
        </is>
      </c>
      <c r="F48" s="20" t="n">
        <v>279</v>
      </c>
      <c r="G48" s="20">
        <f>D48*F48</f>
        <v/>
      </c>
      <c r="H48" s="21">
        <f>G48/SUM($G$5:$G$74)</f>
        <v/>
      </c>
      <c r="I48" s="17" t="inlineStr">
        <is>
          <t>S.Nacional</t>
        </is>
      </c>
      <c r="J48" s="28" t="inlineStr">
        <is>
          <t>Estimado</t>
        </is>
      </c>
      <c r="K48" s="34" t="inlineStr">
        <is>
          <t>N</t>
        </is>
      </c>
      <c r="L48" s="17" t="inlineStr">
        <is>
          <t>Prego 24oz 278.95</t>
        </is>
      </c>
    </row>
    <row r="49">
      <c r="A49" s="17" t="inlineStr">
        <is>
          <t>2 · Cocina</t>
        </is>
      </c>
      <c r="B49" s="17" t="inlineStr">
        <is>
          <t>Condimento</t>
        </is>
      </c>
      <c r="C49" s="17" t="inlineStr">
        <is>
          <t>Sazón en polvo</t>
        </is>
      </c>
      <c r="D49" s="34" t="n">
        <v>2</v>
      </c>
      <c r="E49" s="34" t="inlineStr">
        <is>
          <t>Pote</t>
        </is>
      </c>
      <c r="F49" s="20" t="n">
        <v>215</v>
      </c>
      <c r="G49" s="20">
        <f>D49*F49</f>
        <v/>
      </c>
      <c r="H49" s="21">
        <f>G49/SUM($G$5:$G$74)</f>
        <v/>
      </c>
      <c r="I49" s="17" t="inlineStr">
        <is>
          <t>—</t>
        </is>
      </c>
      <c r="J49" s="28" t="inlineStr">
        <is>
          <t>Estimado</t>
        </is>
      </c>
      <c r="K49" s="34" t="inlineStr">
        <is>
          <t>N</t>
        </is>
      </c>
      <c r="L49" s="17" t="inlineStr">
        <is>
          <t>NO verificado online; mantiene ref</t>
        </is>
      </c>
    </row>
    <row r="50">
      <c r="A50" s="17" t="inlineStr">
        <is>
          <t>2 · Cocina</t>
        </is>
      </c>
      <c r="B50" s="17" t="inlineStr">
        <is>
          <t>Pan/Snack/Dulce</t>
        </is>
      </c>
      <c r="C50" s="17" t="inlineStr">
        <is>
          <t>Palitos de trigo</t>
        </is>
      </c>
      <c r="D50" s="34" t="n">
        <v>4</v>
      </c>
      <c r="E50" s="34" t="inlineStr">
        <is>
          <t>Paquete</t>
        </is>
      </c>
      <c r="F50" s="20" t="n">
        <v>100</v>
      </c>
      <c r="G50" s="20">
        <f>D50*F50</f>
        <v/>
      </c>
      <c r="H50" s="21">
        <f>G50/SUM($G$5:$G$74)</f>
        <v/>
      </c>
      <c r="I50" s="17" t="inlineStr">
        <is>
          <t>S.Nacional</t>
        </is>
      </c>
      <c r="J50" s="28" t="inlineStr">
        <is>
          <t>Estimado</t>
        </is>
      </c>
      <c r="K50" s="34" t="inlineStr">
        <is>
          <t>N</t>
        </is>
      </c>
      <c r="L50" s="17" t="inlineStr">
        <is>
          <t>Quely 50g 99.95</t>
        </is>
      </c>
    </row>
    <row r="51">
      <c r="A51" s="17" t="inlineStr">
        <is>
          <t>2 · Cocina</t>
        </is>
      </c>
      <c r="B51" s="17" t="inlineStr">
        <is>
          <t>Condimento</t>
        </is>
      </c>
      <c r="C51" s="17" t="inlineStr">
        <is>
          <t>Albahaca fresca</t>
        </is>
      </c>
      <c r="D51" s="34" t="n">
        <v>5</v>
      </c>
      <c r="E51" s="34" t="inlineStr">
        <is>
          <t>Paquete</t>
        </is>
      </c>
      <c r="F51" s="20" t="n">
        <v>65</v>
      </c>
      <c r="G51" s="20">
        <f>D51*F51</f>
        <v/>
      </c>
      <c r="H51" s="21">
        <f>G51/SUM($G$5:$G$74)</f>
        <v/>
      </c>
      <c r="I51" s="17" t="inlineStr">
        <is>
          <t>—</t>
        </is>
      </c>
      <c r="J51" s="28" t="inlineStr">
        <is>
          <t>Estimado</t>
        </is>
      </c>
      <c r="K51" s="34" t="inlineStr">
        <is>
          <t>N</t>
        </is>
      </c>
      <c r="L51" s="17" t="inlineStr">
        <is>
          <t>~65 (no expuesto en cadena)</t>
        </is>
      </c>
    </row>
    <row r="52">
      <c r="A52" s="17" t="inlineStr">
        <is>
          <t>2 · Cocina</t>
        </is>
      </c>
      <c r="B52" s="17" t="inlineStr">
        <is>
          <t>Condimento</t>
        </is>
      </c>
      <c r="C52" s="17" t="inlineStr">
        <is>
          <t>Cilantro</t>
        </is>
      </c>
      <c r="D52" s="34" t="n">
        <v>3</v>
      </c>
      <c r="E52" s="34" t="inlineStr">
        <is>
          <t>Paquete</t>
        </is>
      </c>
      <c r="F52" s="20" t="n">
        <v>50</v>
      </c>
      <c r="G52" s="20">
        <f>D52*F52</f>
        <v/>
      </c>
      <c r="H52" s="21">
        <f>G52/SUM($G$5:$G$74)</f>
        <v/>
      </c>
      <c r="I52" s="17" t="inlineStr">
        <is>
          <t>S.Nacional</t>
        </is>
      </c>
      <c r="J52" s="28" t="inlineStr">
        <is>
          <t>Estimado</t>
        </is>
      </c>
      <c r="K52" s="34" t="inlineStr">
        <is>
          <t>N</t>
        </is>
      </c>
      <c r="L52" s="17" t="inlineStr">
        <is>
          <t>Inahnsa ~25-55</t>
        </is>
      </c>
    </row>
    <row r="53">
      <c r="A53" s="17" t="inlineStr">
        <is>
          <t>2 · Cocina</t>
        </is>
      </c>
      <c r="B53" s="17" t="inlineStr">
        <is>
          <t>Condimento</t>
        </is>
      </c>
      <c r="C53" s="17" t="inlineStr">
        <is>
          <t>Orégano</t>
        </is>
      </c>
      <c r="D53" s="34" t="n">
        <v>1</v>
      </c>
      <c r="E53" s="34" t="inlineStr">
        <is>
          <t>Paquete</t>
        </is>
      </c>
      <c r="F53" s="20" t="n">
        <v>150</v>
      </c>
      <c r="G53" s="20">
        <f>D53*F53</f>
        <v/>
      </c>
      <c r="H53" s="21">
        <f>G53/SUM($G$5:$G$74)</f>
        <v/>
      </c>
      <c r="I53" s="17" t="inlineStr">
        <is>
          <t>—</t>
        </is>
      </c>
      <c r="J53" s="28" t="inlineStr">
        <is>
          <t>Estimado</t>
        </is>
      </c>
      <c r="K53" s="34" t="inlineStr">
        <is>
          <t>N</t>
        </is>
      </c>
      <c r="L53" s="17" t="inlineStr">
        <is>
          <t>NO encontrado; mantiene ref</t>
        </is>
      </c>
    </row>
    <row r="54">
      <c r="A54" s="17" t="inlineStr">
        <is>
          <t>2 · Cocina</t>
        </is>
      </c>
      <c r="B54" s="17" t="inlineStr">
        <is>
          <t>Condimento</t>
        </is>
      </c>
      <c r="C54" s="17" t="inlineStr">
        <is>
          <t>Puerro fino</t>
        </is>
      </c>
      <c r="D54" s="34" t="n">
        <v>10</v>
      </c>
      <c r="E54" s="34" t="inlineStr">
        <is>
          <t>Paquete</t>
        </is>
      </c>
      <c r="F54" s="20" t="n">
        <v>50</v>
      </c>
      <c r="G54" s="20">
        <f>D54*F54</f>
        <v/>
      </c>
      <c r="H54" s="21">
        <f>G54/SUM($G$5:$G$74)</f>
        <v/>
      </c>
      <c r="I54" s="17" t="inlineStr">
        <is>
          <t>—</t>
        </is>
      </c>
      <c r="J54" s="28" t="inlineStr">
        <is>
          <t>Estimado</t>
        </is>
      </c>
      <c r="K54" s="34" t="inlineStr">
        <is>
          <t>N</t>
        </is>
      </c>
      <c r="L54" s="17" t="inlineStr">
        <is>
          <t>NO encontrado; mantiene ref</t>
        </is>
      </c>
    </row>
    <row r="55">
      <c r="A55" s="17" t="inlineStr">
        <is>
          <t>2 · Cocina</t>
        </is>
      </c>
      <c r="B55" s="17" t="inlineStr">
        <is>
          <t>Pan/Snack/Dulce</t>
        </is>
      </c>
      <c r="C55" s="17" t="inlineStr">
        <is>
          <t>Hershey's Kisses</t>
        </is>
      </c>
      <c r="D55" s="34" t="n">
        <v>2</v>
      </c>
      <c r="E55" s="34" t="inlineStr">
        <is>
          <t>Paq 9.2oz</t>
        </is>
      </c>
      <c r="F55" s="20" t="n">
        <v>495</v>
      </c>
      <c r="G55" s="20">
        <f>D55*F55</f>
        <v/>
      </c>
      <c r="H55" s="21">
        <f>G55/SUM($G$5:$G$74)</f>
        <v/>
      </c>
      <c r="I55" s="17" t="inlineStr">
        <is>
          <t>Jumbo/Nacional</t>
        </is>
      </c>
      <c r="J55" s="28" t="inlineStr">
        <is>
          <t>Estimado</t>
        </is>
      </c>
      <c r="K55" s="34" t="inlineStr">
        <is>
          <t>N</t>
        </is>
      </c>
      <c r="L55" s="17" t="inlineStr">
        <is>
          <t>494 (oferta) / 554.95. ↑ vs 350</t>
        </is>
      </c>
    </row>
    <row r="56">
      <c r="A56" s="17" t="inlineStr">
        <is>
          <t>2 · Cocina</t>
        </is>
      </c>
      <c r="B56" s="17" t="inlineStr">
        <is>
          <t>Pan/Snack/Dulce</t>
        </is>
      </c>
      <c r="C56" s="17" t="inlineStr">
        <is>
          <t>Bizcocho esponjoso</t>
        </is>
      </c>
      <c r="D56" s="34" t="n">
        <v>4</v>
      </c>
      <c r="E56" s="34" t="inlineStr">
        <is>
          <t>Caja</t>
        </is>
      </c>
      <c r="F56" s="20" t="n">
        <v>80</v>
      </c>
      <c r="G56" s="20">
        <f>D56*F56</f>
        <v/>
      </c>
      <c r="H56" s="21">
        <f>G56/SUM($G$5:$G$74)</f>
        <v/>
      </c>
      <c r="I56" s="17" t="inlineStr">
        <is>
          <t>—</t>
        </is>
      </c>
      <c r="J56" s="28" t="inlineStr">
        <is>
          <t>Estimado</t>
        </is>
      </c>
      <c r="K56" s="34" t="inlineStr">
        <is>
          <t>N</t>
        </is>
      </c>
      <c r="L56" s="17" t="inlineStr">
        <is>
          <t>NO encontrado; mantiene ref</t>
        </is>
      </c>
    </row>
    <row r="57">
      <c r="A57" s="17" t="inlineStr">
        <is>
          <t>2 · Cocina</t>
        </is>
      </c>
      <c r="B57" s="17" t="inlineStr">
        <is>
          <t>Condimento</t>
        </is>
      </c>
      <c r="C57" s="17" t="inlineStr">
        <is>
          <t>Royal (polvo de hornear)</t>
        </is>
      </c>
      <c r="D57" s="34" t="n">
        <v>1</v>
      </c>
      <c r="E57" s="34" t="inlineStr">
        <is>
          <t>Caja</t>
        </is>
      </c>
      <c r="F57" s="20" t="n">
        <v>100</v>
      </c>
      <c r="G57" s="20">
        <f>D57*F57</f>
        <v/>
      </c>
      <c r="H57" s="21">
        <f>G57/SUM($G$5:$G$74)</f>
        <v/>
      </c>
      <c r="I57" s="17" t="inlineStr">
        <is>
          <t>S.Nacional</t>
        </is>
      </c>
      <c r="J57" s="28" t="inlineStr">
        <is>
          <t>Estimado</t>
        </is>
      </c>
      <c r="K57" s="34" t="inlineStr">
        <is>
          <t>N</t>
        </is>
      </c>
      <c r="L57" s="17" t="inlineStr">
        <is>
          <t>Estándar ~100-150</t>
        </is>
      </c>
    </row>
    <row r="58">
      <c r="A58" s="17" t="inlineStr">
        <is>
          <t>2 · Cocina</t>
        </is>
      </c>
      <c r="B58" s="17" t="inlineStr">
        <is>
          <t>Condimento</t>
        </is>
      </c>
      <c r="C58" s="17" t="inlineStr">
        <is>
          <t>Curry en polvo</t>
        </is>
      </c>
      <c r="D58" s="34" t="n">
        <v>1</v>
      </c>
      <c r="E58" s="34" t="inlineStr">
        <is>
          <t>Frasco</t>
        </is>
      </c>
      <c r="F58" s="20" t="n">
        <v>150</v>
      </c>
      <c r="G58" s="20">
        <f>D58*F58</f>
        <v/>
      </c>
      <c r="H58" s="21">
        <f>G58/SUM($G$5:$G$74)</f>
        <v/>
      </c>
      <c r="I58" s="17" t="inlineStr">
        <is>
          <t>Nacional/Jumbo</t>
        </is>
      </c>
      <c r="J58" s="28" t="inlineStr">
        <is>
          <t>Estimado</t>
        </is>
      </c>
      <c r="K58" s="34" t="inlineStr">
        <is>
          <t>N</t>
        </is>
      </c>
      <c r="L58" s="17" t="inlineStr">
        <is>
          <t>Sobre 80g ~145 / frasco 145g ~260</t>
        </is>
      </c>
    </row>
    <row r="59">
      <c r="A59" s="17" t="inlineStr">
        <is>
          <t>2 · Cocina</t>
        </is>
      </c>
      <c r="B59" s="17" t="inlineStr">
        <is>
          <t>Condimento</t>
        </is>
      </c>
      <c r="C59" s="17" t="inlineStr">
        <is>
          <t>Salsa roja</t>
        </is>
      </c>
      <c r="D59" s="34" t="n">
        <v>2</v>
      </c>
      <c r="E59" s="34" t="inlineStr">
        <is>
          <t>Kilo</t>
        </is>
      </c>
      <c r="F59" s="20" t="n">
        <v>150</v>
      </c>
      <c r="G59" s="20">
        <f>D59*F59</f>
        <v/>
      </c>
      <c r="H59" s="21">
        <f>G59/SUM($G$5:$G$74)</f>
        <v/>
      </c>
      <c r="I59" s="17" t="inlineStr">
        <is>
          <t>—</t>
        </is>
      </c>
      <c r="J59" s="28" t="inlineStr">
        <is>
          <t>Estimado</t>
        </is>
      </c>
      <c r="K59" s="34" t="inlineStr">
        <is>
          <t>N</t>
        </is>
      </c>
      <c r="L59" s="17" t="inlineStr">
        <is>
          <t>NO encontrado por kilo; mantiene ref</t>
        </is>
      </c>
    </row>
    <row r="60">
      <c r="A60" s="17" t="inlineStr">
        <is>
          <t>2 · Cocina</t>
        </is>
      </c>
      <c r="B60" s="17" t="inlineStr">
        <is>
          <t>Aceite/Grasa</t>
        </is>
      </c>
      <c r="C60" s="17" t="inlineStr">
        <is>
          <t>Aceite verde / oliva</t>
        </is>
      </c>
      <c r="D60" s="34" t="n">
        <v>1</v>
      </c>
      <c r="E60" s="34" t="inlineStr">
        <is>
          <t>Litro</t>
        </is>
      </c>
      <c r="F60" s="20" t="n">
        <v>1000</v>
      </c>
      <c r="G60" s="20">
        <f>D60*F60</f>
        <v/>
      </c>
      <c r="H60" s="21">
        <f>G60/SUM($G$5:$G$74)</f>
        <v/>
      </c>
      <c r="I60" s="17" t="inlineStr">
        <is>
          <t>S.Nacional</t>
        </is>
      </c>
      <c r="J60" s="28" t="inlineStr">
        <is>
          <t>Estimado</t>
        </is>
      </c>
      <c r="K60" s="34" t="inlineStr">
        <is>
          <t>S</t>
        </is>
      </c>
      <c r="L60" s="17" t="inlineStr">
        <is>
          <t>La Española 1L 999.95. ↑ vs 650</t>
        </is>
      </c>
    </row>
    <row r="61">
      <c r="A61" s="17" t="inlineStr">
        <is>
          <t>2 · Cocina</t>
        </is>
      </c>
      <c r="B61" s="17" t="inlineStr">
        <is>
          <t>Enlatado</t>
        </is>
      </c>
      <c r="C61" s="17" t="inlineStr">
        <is>
          <t>Maíz lata grande</t>
        </is>
      </c>
      <c r="D61" s="34" t="n">
        <v>3</v>
      </c>
      <c r="E61" s="34" t="inlineStr">
        <is>
          <t>Lata 3kg</t>
        </is>
      </c>
      <c r="F61" s="20" t="n">
        <v>595</v>
      </c>
      <c r="G61" s="20">
        <f>D61*F61</f>
        <v/>
      </c>
      <c r="H61" s="21">
        <f>G61/SUM($G$5:$G$74)</f>
        <v/>
      </c>
      <c r="I61" s="17" t="inlineStr">
        <is>
          <t>Compradirecta</t>
        </is>
      </c>
      <c r="J61" s="28" t="inlineStr">
        <is>
          <t>Estimado</t>
        </is>
      </c>
      <c r="K61" s="34" t="inlineStr">
        <is>
          <t>N</t>
        </is>
      </c>
      <c r="L61" s="17" t="inlineStr">
        <is>
          <t>⚠️ Linda 3kg 595; cadenas solo latas chicas</t>
        </is>
      </c>
    </row>
    <row r="62">
      <c r="A62" s="17" t="inlineStr">
        <is>
          <t>3 · Transporte</t>
        </is>
      </c>
      <c r="B62" s="17" t="inlineStr">
        <is>
          <t>Bus</t>
        </is>
      </c>
      <c r="C62" s="17" t="inlineStr">
        <is>
          <t>Minibús equipo (15-20) ida y vuelta</t>
        </is>
      </c>
      <c r="D62" s="34" t="n">
        <v>1</v>
      </c>
      <c r="E62" s="34" t="inlineStr">
        <is>
          <t>Servicio i/v</t>
        </is>
      </c>
      <c r="F62" s="20" t="n">
        <v>15000</v>
      </c>
      <c r="G62" s="20">
        <f>D62*F62</f>
        <v/>
      </c>
      <c r="H62" s="21">
        <f>G62/SUM($G$5:$G$74)</f>
        <v/>
      </c>
      <c r="I62" s="17" t="inlineStr">
        <is>
          <t>Metro Servicios 809-530-2850</t>
        </is>
      </c>
      <c r="J62" s="28" t="inlineStr">
        <is>
          <t>Estimado</t>
        </is>
      </c>
      <c r="K62" s="34" t="inlineStr">
        <is>
          <t>N</t>
        </is>
      </c>
      <c r="L62" s="17" t="inlineStr">
        <is>
          <t>POR COTIZAR. Incluye combustible y peajes.</t>
        </is>
      </c>
    </row>
    <row r="63">
      <c r="A63" s="17" t="inlineStr">
        <is>
          <t>3 · Transporte</t>
        </is>
      </c>
      <c r="B63" s="17" t="inlineStr">
        <is>
          <t>Bus</t>
        </is>
      </c>
      <c r="C63" s="17" t="inlineStr">
        <is>
          <t>Autobús participantes (40-50) ida y vuelta</t>
        </is>
      </c>
      <c r="D63" s="34" t="n">
        <v>1</v>
      </c>
      <c r="E63" s="34" t="inlineStr">
        <is>
          <t>Servicio i/v</t>
        </is>
      </c>
      <c r="F63" s="20" t="n">
        <v>34000</v>
      </c>
      <c r="G63" s="20">
        <f>D63*F63</f>
        <v/>
      </c>
      <c r="H63" s="21">
        <f>G63/SUM($G$5:$G$74)</f>
        <v/>
      </c>
      <c r="I63" s="17" t="inlineStr">
        <is>
          <t>Transportando RD +1 849-803-1626</t>
        </is>
      </c>
      <c r="J63" s="28" t="inlineStr">
        <is>
          <t>Estimado</t>
        </is>
      </c>
      <c r="K63" s="34" t="inlineStr">
        <is>
          <t>N</t>
        </is>
      </c>
      <c r="L63" s="17" t="inlineStr">
        <is>
          <t>POR COTIZAR. Incluye combustible y peajes.</t>
        </is>
      </c>
    </row>
    <row r="64">
      <c r="A64" s="17" t="inlineStr">
        <is>
          <t>3 · Transporte</t>
        </is>
      </c>
      <c r="B64" s="17" t="inlineStr">
        <is>
          <t>Bus</t>
        </is>
      </c>
      <c r="C64" s="17" t="inlineStr">
        <is>
          <t>Autobús clausura padres/etecianos ida y vuelta</t>
        </is>
      </c>
      <c r="D64" s="34" t="n">
        <v>1</v>
      </c>
      <c r="E64" s="34" t="inlineStr">
        <is>
          <t>Servicio i/v</t>
        </is>
      </c>
      <c r="F64" s="20" t="n">
        <v>28500</v>
      </c>
      <c r="G64" s="20">
        <f>D64*F64</f>
        <v/>
      </c>
      <c r="H64" s="21">
        <f>G64/SUM($G$5:$G$74)</f>
        <v/>
      </c>
      <c r="I64" s="17" t="inlineStr">
        <is>
          <t>DominicanBus / Dominican Tours 809-530-9742</t>
        </is>
      </c>
      <c r="J64" s="28" t="inlineStr">
        <is>
          <t>Estimado</t>
        </is>
      </c>
      <c r="K64" s="34" t="inlineStr">
        <is>
          <t>N</t>
        </is>
      </c>
      <c r="L64" s="17" t="inlineStr">
        <is>
          <t>POR COTIZAR. Incluye combustible y peajes.</t>
        </is>
      </c>
    </row>
    <row r="65">
      <c r="A65" s="17" t="inlineStr">
        <is>
          <t>4 · Biblias y peces</t>
        </is>
      </c>
      <c r="B65" s="17" t="inlineStr">
        <is>
          <t>Material participante</t>
        </is>
      </c>
      <c r="C65" s="17" t="inlineStr">
        <is>
          <t>Biblia Latinoam. Bolsillo Color</t>
        </is>
      </c>
      <c r="D65" s="34" t="n">
        <v>50</v>
      </c>
      <c r="E65" s="34" t="inlineStr">
        <is>
          <t>Unidad</t>
        </is>
      </c>
      <c r="F65" s="20" t="n">
        <v>680</v>
      </c>
      <c r="G65" s="20">
        <f>D65*F65</f>
        <v/>
      </c>
      <c r="H65" s="21">
        <f>G65/SUM($G$5:$G$74)</f>
        <v/>
      </c>
      <c r="I65" s="17" t="inlineStr">
        <is>
          <t>Paulinas — proforma #32397 (08-jun-26)</t>
        </is>
      </c>
      <c r="J65" s="39" t="inlineStr">
        <is>
          <t>Firme</t>
        </is>
      </c>
      <c r="K65" s="34" t="inlineStr">
        <is>
          <t>S</t>
        </is>
      </c>
      <c r="L65" s="17" t="inlineStr">
        <is>
          <t>Lista 800 −15% = 680 → 34,000.</t>
        </is>
      </c>
    </row>
    <row r="66">
      <c r="A66" s="17" t="inlineStr">
        <is>
          <t>4 · Biblias y peces</t>
        </is>
      </c>
      <c r="B66" s="17" t="inlineStr">
        <is>
          <t>Material participante</t>
        </is>
      </c>
      <c r="C66" s="17" t="inlineStr">
        <is>
          <t>Peces (símbolo)</t>
        </is>
      </c>
      <c r="D66" s="34" t="n">
        <v>50</v>
      </c>
      <c r="E66" s="34" t="inlineStr">
        <is>
          <t>Unidad</t>
        </is>
      </c>
      <c r="F66" s="20" t="n">
        <v>600</v>
      </c>
      <c r="G66" s="20">
        <f>D66*F66</f>
        <v/>
      </c>
      <c r="H66" s="21">
        <f>G66/SUM($G$5:$G$74)</f>
        <v/>
      </c>
      <c r="I66" s="17" t="inlineStr">
        <is>
          <t>Importado US$10 × 60</t>
        </is>
      </c>
      <c r="J66" s="39" t="inlineStr">
        <is>
          <t>Firme</t>
        </is>
      </c>
      <c r="K66" s="34" t="inlineStr">
        <is>
          <t>S</t>
        </is>
      </c>
      <c r="L66" s="17" t="inlineStr">
        <is>
          <t>US$10 con envío × 60 = 600 → 30,000.</t>
        </is>
      </c>
    </row>
    <row r="67">
      <c r="A67" s="17" t="inlineStr">
        <is>
          <t>5 · Guías/Eventos/Música/Camisetas</t>
        </is>
      </c>
      <c r="B67" s="17" t="inlineStr">
        <is>
          <t>Guías</t>
        </is>
      </c>
      <c r="C67" s="17" t="inlineStr">
        <is>
          <t>Guías/PG — materiales (banderín, carnets, papelería, rosarios, bolsas)</t>
        </is>
      </c>
      <c r="D67" s="34" t="n">
        <v>1</v>
      </c>
      <c r="E67" s="34" t="inlineStr">
        <is>
          <t>Paquete</t>
        </is>
      </c>
      <c r="F67" s="20" t="n">
        <v>17000</v>
      </c>
      <c r="G67" s="20">
        <f>D67*F67</f>
        <v/>
      </c>
      <c r="H67" s="21">
        <f>G67/SUM($G$5:$G$74)</f>
        <v/>
      </c>
      <c r="I67" s="17" t="inlineStr">
        <is>
          <t>Equipo de guías</t>
        </is>
      </c>
      <c r="J67" s="28" t="inlineStr">
        <is>
          <t>Estimado</t>
        </is>
      </c>
      <c r="K67" s="34" t="inlineStr">
        <is>
          <t>S</t>
        </is>
      </c>
      <c r="L67" s="17" t="inlineStr">
        <is>
          <t>Incluye banderín, carnets, papelería, rosarios, bolsas de tela. Detallar.</t>
        </is>
      </c>
    </row>
    <row r="68">
      <c r="A68" s="17" t="inlineStr">
        <is>
          <t>5 · Guías/Eventos/Música/Camisetas</t>
        </is>
      </c>
      <c r="B68" s="17" t="inlineStr">
        <is>
          <t>Formación</t>
        </is>
      </c>
      <c r="C68" s="17" t="inlineStr">
        <is>
          <t>Eventos formativos</t>
        </is>
      </c>
      <c r="D68" s="34" t="n">
        <v>1</v>
      </c>
      <c r="E68" s="34" t="inlineStr">
        <is>
          <t>Global</t>
        </is>
      </c>
      <c r="F68" s="20" t="n">
        <v>16315</v>
      </c>
      <c r="G68" s="20">
        <f>D68*F68</f>
        <v/>
      </c>
      <c r="H68" s="21">
        <f>G68/SUM($G$5:$G$74)</f>
        <v/>
      </c>
      <c r="I68" s="17" t="inlineStr">
        <is>
          <t>Equipo formación</t>
        </is>
      </c>
      <c r="J68" s="28" t="inlineStr">
        <is>
          <t>Estimado</t>
        </is>
      </c>
      <c r="K68" s="34" t="inlineStr">
        <is>
          <t>N</t>
        </is>
      </c>
      <c r="L68" s="17" t="inlineStr">
        <is>
          <t>Dinámicas, charlas, recursos.</t>
        </is>
      </c>
    </row>
    <row r="69">
      <c r="A69" s="17" t="inlineStr">
        <is>
          <t>5 · Guías/Eventos/Música/Camisetas</t>
        </is>
      </c>
      <c r="B69" s="17" t="inlineStr">
        <is>
          <t>Liturgia</t>
        </is>
      </c>
      <c r="C69" s="17" t="inlineStr">
        <is>
          <t>Música / sonido</t>
        </is>
      </c>
      <c r="D69" s="34" t="n">
        <v>1</v>
      </c>
      <c r="E69" s="34" t="inlineStr">
        <is>
          <t>Global</t>
        </is>
      </c>
      <c r="F69" s="20" t="n">
        <v>4500</v>
      </c>
      <c r="G69" s="20">
        <f>D69*F69</f>
        <v/>
      </c>
      <c r="H69" s="21">
        <f>G69/SUM($G$5:$G$74)</f>
        <v/>
      </c>
      <c r="I69" s="17" t="inlineStr">
        <is>
          <t>Ministerio de música</t>
        </is>
      </c>
      <c r="J69" s="28" t="inlineStr">
        <is>
          <t>Estimado</t>
        </is>
      </c>
      <c r="K69" s="34" t="inlineStr">
        <is>
          <t>N</t>
        </is>
      </c>
      <c r="L69" s="17" t="inlineStr"/>
    </row>
    <row r="70">
      <c r="A70" s="17" t="inlineStr">
        <is>
          <t>5 · Guías/Eventos/Música/Camisetas</t>
        </is>
      </c>
      <c r="B70" s="17" t="inlineStr">
        <is>
          <t>Alimentación equipo</t>
        </is>
      </c>
      <c r="C70" s="17" t="inlineStr">
        <is>
          <t>Almuerzo ensayo general</t>
        </is>
      </c>
      <c r="D70" s="34" t="n">
        <v>53</v>
      </c>
      <c r="E70" s="34" t="inlineStr">
        <is>
          <t>Persona</t>
        </is>
      </c>
      <c r="F70" s="20" t="n">
        <v>300</v>
      </c>
      <c r="G70" s="20">
        <f>D70*F70</f>
        <v/>
      </c>
      <c r="H70" s="21">
        <f>G70/SUM($G$5:$G$74)</f>
        <v/>
      </c>
      <c r="I70" s="17" t="inlineStr">
        <is>
          <t>Catering local</t>
        </is>
      </c>
      <c r="J70" s="28" t="inlineStr">
        <is>
          <t>Estimado</t>
        </is>
      </c>
      <c r="K70" s="34" t="inlineStr">
        <is>
          <t>N</t>
        </is>
      </c>
      <c r="L70" s="17" t="inlineStr">
        <is>
          <t>53 titulares al ensayo. 300/pers.</t>
        </is>
      </c>
    </row>
    <row r="71">
      <c r="A71" s="17" t="inlineStr">
        <is>
          <t>5 · Guías/Eventos/Música/Camisetas</t>
        </is>
      </c>
      <c r="B71" s="17" t="inlineStr">
        <is>
          <t>Vestuario</t>
        </is>
      </c>
      <c r="C71" s="17" t="inlineStr">
        <is>
          <t>Camisetas EQUIPO</t>
        </is>
      </c>
      <c r="D71" s="34" t="n">
        <v>50</v>
      </c>
      <c r="E71" s="34" t="inlineStr">
        <is>
          <t>Unidad</t>
        </is>
      </c>
      <c r="F71" s="20" t="n">
        <v>400</v>
      </c>
      <c r="G71" s="20">
        <f>D71*F71</f>
        <v/>
      </c>
      <c r="H71" s="21">
        <f>G71/SUM($G$5:$G$74)</f>
        <v/>
      </c>
      <c r="I71" s="17" t="inlineStr">
        <is>
          <t>Proveedor textil (cotizar)</t>
        </is>
      </c>
      <c r="J71" s="28" t="inlineStr">
        <is>
          <t>Estimado</t>
        </is>
      </c>
      <c r="K71" s="34" t="inlineStr">
        <is>
          <t>S</t>
        </is>
      </c>
      <c r="L71" s="17" t="inlineStr">
        <is>
          <t>50 (equipo menos 3 asesores externos, que no llevan camiseta). Cotizada a 400/u.</t>
        </is>
      </c>
    </row>
    <row r="72">
      <c r="A72" s="17" t="inlineStr">
        <is>
          <t>6 · Litúrgico</t>
        </is>
      </c>
      <c r="B72" s="17" t="inlineStr">
        <is>
          <t>Litúrgico</t>
        </is>
      </c>
      <c r="C72" s="17" t="inlineStr">
        <is>
          <t>Ofrendas sacerdotes</t>
        </is>
      </c>
      <c r="D72" s="34" t="n">
        <v>4</v>
      </c>
      <c r="E72" s="34" t="inlineStr">
        <is>
          <t>Sacerdote</t>
        </is>
      </c>
      <c r="F72" s="20" t="n">
        <v>3000</v>
      </c>
      <c r="G72" s="20">
        <f>D72*F72</f>
        <v/>
      </c>
      <c r="H72" s="21">
        <f>G72/SUM($G$5:$G$74)</f>
        <v/>
      </c>
      <c r="I72" s="17" t="inlineStr">
        <is>
          <t>Parroquia</t>
        </is>
      </c>
      <c r="J72" s="28" t="inlineStr">
        <is>
          <t>Estimado</t>
        </is>
      </c>
      <c r="K72" s="34" t="inlineStr">
        <is>
          <t>N</t>
        </is>
      </c>
      <c r="L72" s="17" t="inlineStr">
        <is>
          <t>4 sacerdotes × 3,000. Confirmar nº.</t>
        </is>
      </c>
    </row>
    <row r="73">
      <c r="A73" s="17" t="inlineStr">
        <is>
          <t>6 · Litúrgico</t>
        </is>
      </c>
      <c r="B73" s="17" t="inlineStr">
        <is>
          <t>Litúrgico</t>
        </is>
      </c>
      <c r="C73" s="17" t="inlineStr">
        <is>
          <t>Insumos litúrgicos de misa (pan y vino)</t>
        </is>
      </c>
      <c r="D73" s="34" t="n">
        <v>1</v>
      </c>
      <c r="E73" s="34" t="inlineStr">
        <is>
          <t>Global</t>
        </is>
      </c>
      <c r="F73" s="20" t="n">
        <v>3300</v>
      </c>
      <c r="G73" s="20">
        <f>D73*F73</f>
        <v/>
      </c>
      <c r="H73" s="21">
        <f>G73/SUM($G$5:$G$74)</f>
        <v/>
      </c>
      <c r="I73" s="17" t="inlineStr">
        <is>
          <t>Proveedor litúrgico</t>
        </is>
      </c>
      <c r="J73" s="28" t="inlineStr">
        <is>
          <t>Estimado</t>
        </is>
      </c>
      <c r="K73" s="34" t="inlineStr">
        <is>
          <t>S</t>
        </is>
      </c>
      <c r="L73" s="17" t="inlineStr">
        <is>
          <t>Pan y vino. Parroquia puede proveer.</t>
        </is>
      </c>
    </row>
    <row r="74">
      <c r="A74" s="17" t="inlineStr">
        <is>
          <t>7 · Avanzada</t>
        </is>
      </c>
      <c r="B74" s="17" t="inlineStr">
        <is>
          <t>Alimentación equipo</t>
        </is>
      </c>
      <c r="C74" s="17" t="inlineStr">
        <is>
          <t>Equipo avanzada (15-20, jue/vie): hospedaje + comida</t>
        </is>
      </c>
      <c r="D74" s="34" t="n">
        <v>1</v>
      </c>
      <c r="E74" s="34" t="inlineStr">
        <is>
          <t>Global</t>
        </is>
      </c>
      <c r="F74" s="20" t="n">
        <v>0</v>
      </c>
      <c r="G74" s="20">
        <f>D74*F74</f>
        <v/>
      </c>
      <c r="H74" s="21">
        <f>G74/SUM($G$5:$G$74)</f>
        <v/>
      </c>
      <c r="I74" s="17" t="inlineStr"/>
      <c r="J74" s="28" t="inlineStr">
        <is>
          <t>Estimado</t>
        </is>
      </c>
      <c r="K74" s="34" t="inlineStr">
        <is>
          <t>N</t>
        </is>
      </c>
      <c r="L74" s="17" t="inlineStr">
        <is>
          <t>SIN ESTIMADO — pendiente de definir.</t>
        </is>
      </c>
    </row>
  </sheetData>
  <autoFilter ref="A4:L74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5" customWidth="1" min="4" max="4"/>
    <col width="14" customWidth="1" min="5" max="5"/>
    <col width="34" customWidth="1" min="6" max="6"/>
  </cols>
  <sheetData>
    <row r="1">
      <c r="A1" s="40" t="inlineStr">
        <is>
          <t>ETC 88 · LADO B — RECAUDACIÓN Y BRECHA</t>
        </is>
      </c>
    </row>
    <row r="2">
      <c r="A2" s="32" t="inlineStr">
        <is>
          <t>Solo las CUOTAS son ingreso firme. Meta: cubrir el LADO A (break-even). Celdas amarillas = editables.</t>
        </is>
      </c>
    </row>
    <row r="4">
      <c r="A4" s="41" t="inlineStr">
        <is>
          <t>1 · INGRESOS FIRMES — CUOTAS</t>
        </is>
      </c>
      <c r="B4" s="42" t="n"/>
      <c r="C4" s="42" t="n"/>
      <c r="D4" s="42" t="n"/>
      <c r="E4" s="42" t="n"/>
      <c r="F4" s="42" t="n"/>
    </row>
    <row r="5">
      <c r="A5" s="43" t="inlineStr">
        <is>
          <t>Fuente</t>
        </is>
      </c>
      <c r="B5" s="43" t="inlineStr">
        <is>
          <t>Personas</t>
        </is>
      </c>
      <c r="C5" s="43" t="inlineStr">
        <is>
          <t>Cuota (RD$)</t>
        </is>
      </c>
      <c r="D5" s="43" t="inlineStr">
        <is>
          <t>Ingreso</t>
        </is>
      </c>
      <c r="E5" s="43" t="inlineStr">
        <is>
          <t>Estado</t>
        </is>
      </c>
      <c r="F5" s="43" t="inlineStr">
        <is>
          <t>Nota</t>
        </is>
      </c>
    </row>
    <row r="6">
      <c r="A6" s="17" t="inlineStr">
        <is>
          <t>Cuota participantes</t>
        </is>
      </c>
      <c r="B6" s="34" t="n">
        <v>50</v>
      </c>
      <c r="C6" s="44" t="n">
        <v>3000</v>
      </c>
      <c r="D6" s="20">
        <f>B6*C6</f>
        <v/>
      </c>
      <c r="E6" s="39" t="inlineStr">
        <is>
          <t>Firme</t>
        </is>
      </c>
      <c r="F6" s="17" t="inlineStr">
        <is>
          <t>1er + 2do pago (50 estimado)</t>
        </is>
      </c>
    </row>
    <row r="7">
      <c r="A7" s="17" t="inlineStr">
        <is>
          <t>Cuota equipo</t>
        </is>
      </c>
      <c r="B7" s="34" t="n">
        <v>53</v>
      </c>
      <c r="C7" s="44" t="n">
        <v>2000</v>
      </c>
      <c r="D7" s="20">
        <f>B7*C7</f>
        <v/>
      </c>
      <c r="E7" s="39" t="inlineStr">
        <is>
          <t>Firme</t>
        </is>
      </c>
      <c r="F7" s="17" t="inlineStr">
        <is>
          <t>53 titulares (Carpeta)</t>
        </is>
      </c>
    </row>
    <row r="8">
      <c r="A8" s="45" t="inlineStr">
        <is>
          <t>Subtotal cuotas (FIRME)</t>
        </is>
      </c>
      <c r="B8" s="46" t="n"/>
      <c r="C8" s="46" t="n"/>
      <c r="D8" s="47">
        <f>SUM(D6:D7)</f>
        <v/>
      </c>
      <c r="E8" s="46" t="n"/>
      <c r="F8" s="46" t="n"/>
    </row>
    <row r="9">
      <c r="A9" s="41" t="inlineStr">
        <is>
          <t>2 · PALANCAS DE RECAUDACIÓN (estimadas — no firmes)</t>
        </is>
      </c>
      <c r="B9" s="42" t="n"/>
      <c r="C9" s="42" t="n"/>
      <c r="D9" s="42" t="n"/>
      <c r="E9" s="42" t="n"/>
      <c r="F9" s="42" t="n"/>
    </row>
    <row r="10">
      <c r="A10" s="43" t="inlineStr">
        <is>
          <t>Fuente</t>
        </is>
      </c>
      <c r="B10" s="43" t="inlineStr">
        <is>
          <t>Parámetro</t>
        </is>
      </c>
      <c r="C10" s="43" t="inlineStr">
        <is>
          <t>Parámetro</t>
        </is>
      </c>
      <c r="D10" s="43" t="inlineStr">
        <is>
          <t>Meta (RD$)</t>
        </is>
      </c>
      <c r="E10" s="43" t="inlineStr">
        <is>
          <t>Prob.</t>
        </is>
      </c>
      <c r="F10" s="43" t="inlineStr">
        <is>
          <t>Nota</t>
        </is>
      </c>
    </row>
    <row r="11">
      <c r="A11" s="17" t="inlineStr">
        <is>
          <t>Rifa / Profondo #1</t>
        </is>
      </c>
      <c r="B11" s="28" t="n">
        <v>600</v>
      </c>
      <c r="C11" s="28" t="n">
        <v>200</v>
      </c>
      <c r="D11" s="20">
        <f>B11*C11-30000</f>
        <v/>
      </c>
      <c r="E11" s="34" t="inlineStr">
        <is>
          <t>Media</t>
        </is>
      </c>
      <c r="F11" s="17" t="inlineStr">
        <is>
          <t>600 boletos × 200 − premio 30,000 (neto en cronograma Ago)</t>
        </is>
      </c>
    </row>
    <row r="12">
      <c r="A12" s="17" t="inlineStr">
        <is>
          <t>Venta de garaje</t>
        </is>
      </c>
      <c r="B12" s="18" t="n"/>
      <c r="C12" s="18" t="n"/>
      <c r="D12" s="44" t="n">
        <v>60000</v>
      </c>
      <c r="E12" s="34" t="inlineStr">
        <is>
          <t>Media</t>
        </is>
      </c>
      <c r="F12" s="17" t="inlineStr">
        <is>
          <t>Donación de artículos para vender</t>
        </is>
      </c>
    </row>
    <row r="13">
      <c r="A13" s="17" t="inlineStr">
        <is>
          <t>Venta de comida (2-3 eventos)</t>
        </is>
      </c>
      <c r="B13" s="18" t="n"/>
      <c r="C13" s="18" t="n"/>
      <c r="D13" s="44" t="n">
        <v>25000</v>
      </c>
      <c r="E13" s="34" t="inlineStr">
        <is>
          <t>Media</t>
        </is>
      </c>
      <c r="F13" s="17" t="inlineStr">
        <is>
          <t>Sancochos / chercas (2 eventos × 12,500)</t>
        </is>
      </c>
    </row>
    <row r="14">
      <c r="A14" s="17" t="inlineStr">
        <is>
          <t>Donaciones en efectivo</t>
        </is>
      </c>
      <c r="B14" s="18" t="n"/>
      <c r="C14" s="18" t="n"/>
      <c r="D14" s="44" t="n">
        <v>40000</v>
      </c>
      <c r="E14" s="34" t="inlineStr">
        <is>
          <t>Media</t>
        </is>
      </c>
      <c r="F14" s="17" t="inlineStr">
        <is>
          <t>Parroquia, padrinos, diáspora</t>
        </is>
      </c>
    </row>
    <row r="15">
      <c r="A15" s="45" t="inlineStr">
        <is>
          <t>Subtotal palancas (estimado)</t>
        </is>
      </c>
      <c r="B15" s="46" t="n"/>
      <c r="C15" s="46" t="n"/>
      <c r="D15" s="47">
        <f>SUM(D11:D14)</f>
        <v/>
      </c>
      <c r="E15" s="46" t="n"/>
      <c r="F15" s="46" t="n"/>
    </row>
    <row r="17">
      <c r="A17" s="41" t="inlineStr">
        <is>
          <t>3 · ECUACIÓN DE COBERTURA (brecha vinculada en vivo al LADO A)</t>
        </is>
      </c>
      <c r="B17" s="42" t="n"/>
      <c r="C17" s="42" t="n"/>
      <c r="D17" s="42" t="n"/>
      <c r="E17" s="42" t="n"/>
      <c r="F17" s="42" t="n"/>
    </row>
    <row r="18">
      <c r="A18" s="22" t="inlineStr">
        <is>
          <t>TOTAL LADO A (costo del retiro)</t>
        </is>
      </c>
      <c r="B18" s="48" t="n"/>
      <c r="C18" s="48" t="n"/>
      <c r="D18" s="23">
        <f>'01 · LADO A Costos'!O14</f>
        <v/>
      </c>
      <c r="E18" s="48" t="n"/>
      <c r="F18" s="48" t="n"/>
    </row>
    <row r="19">
      <c r="A19" s="49" t="inlineStr">
        <is>
          <t>(−) Cuotas firmes</t>
        </is>
      </c>
      <c r="B19" s="18" t="n"/>
      <c r="C19" s="18" t="n"/>
      <c r="D19" s="50">
        <f>-D8</f>
        <v/>
      </c>
      <c r="E19" s="18" t="n"/>
      <c r="F19" s="18" t="n"/>
    </row>
    <row r="20">
      <c r="A20" s="51">
        <f> BRECHA tras cuotas</f>
        <v/>
      </c>
      <c r="B20" s="52" t="n"/>
      <c r="C20" s="52" t="n"/>
      <c r="D20" s="53">
        <f>'01 · LADO A Costos'!O14-D8</f>
        <v/>
      </c>
      <c r="E20" s="52" t="n"/>
      <c r="F20" s="52" t="n"/>
    </row>
    <row r="21">
      <c r="A21" s="49" t="inlineStr">
        <is>
          <t>(−) Palancas de caja (estimadas)</t>
        </is>
      </c>
      <c r="B21" s="18" t="n"/>
      <c r="C21" s="18" t="n"/>
      <c r="D21" s="50">
        <f>-D15</f>
        <v/>
      </c>
      <c r="E21" s="18" t="n"/>
      <c r="F21" s="18" t="n"/>
    </row>
    <row r="22">
      <c r="A22" s="49" t="inlineStr">
        <is>
          <t>(−) Donaciones en especie (reducen el costo)</t>
        </is>
      </c>
      <c r="B22" s="18" t="n"/>
      <c r="C22" s="18" t="n"/>
      <c r="D22" s="50">
        <f>-SUMIF('01 · LADO A Costos'!K5:K74,"S",'01 · LADO A Costos'!G5:G74)</f>
        <v/>
      </c>
      <c r="E22" s="18" t="n"/>
      <c r="F22" s="18" t="n"/>
    </row>
    <row r="23">
      <c r="A23" s="22">
        <f> SUPERÁVIT / (DÉFICIT) proyectado  [+ sobra / − falta]</f>
        <v/>
      </c>
      <c r="B23" s="48" t="n"/>
      <c r="C23" s="48" t="n"/>
      <c r="D23" s="23">
        <f>D8+D15+SUMIF('01 · LADO A Costos'!K5:K74,"S",'01 · LADO A Costos'!G5:G74)-'01 · LADO A Costos'!O14</f>
        <v/>
      </c>
      <c r="E23" s="48" t="n"/>
      <c r="F23" s="48" t="n"/>
    </row>
    <row r="25">
      <c r="A25" s="41" t="inlineStr">
        <is>
          <t>4 · ESCENARIOS DE CUOTA (impacto en la brecha)</t>
        </is>
      </c>
      <c r="B25" s="42" t="n"/>
      <c r="C25" s="42" t="n"/>
      <c r="D25" s="42" t="n"/>
      <c r="E25" s="42" t="n"/>
      <c r="F25" s="42" t="n"/>
    </row>
    <row r="26">
      <c r="A26" s="43" t="inlineStr">
        <is>
          <t>Escenario</t>
        </is>
      </c>
      <c r="B26" s="43" t="inlineStr">
        <is>
          <t>Cuota part.</t>
        </is>
      </c>
      <c r="C26" s="43" t="inlineStr">
        <is>
          <t>Cuota equipo</t>
        </is>
      </c>
      <c r="D26" s="43" t="inlineStr">
        <is>
          <t>Ingreso cuotas</t>
        </is>
      </c>
      <c r="E26" s="43" t="inlineStr">
        <is>
          <t>Brecha tras cuotas</t>
        </is>
      </c>
      <c r="F26" s="43" t="inlineStr">
        <is>
          <t>Nota</t>
        </is>
      </c>
    </row>
    <row r="27">
      <c r="A27" s="17" t="inlineStr">
        <is>
          <t>A · Actual (recomendado)</t>
        </is>
      </c>
      <c r="B27" s="44" t="n">
        <v>3000</v>
      </c>
      <c r="C27" s="44" t="n">
        <v>2000</v>
      </c>
      <c r="D27" s="20">
        <f>50*B27+53*C27</f>
        <v/>
      </c>
      <c r="E27" s="20">
        <f>'01 · LADO A Costos'!O14-D27</f>
        <v/>
      </c>
      <c r="F27" s="17" t="inlineStr">
        <is>
          <t>50 part. + 50 equipo</t>
        </is>
      </c>
    </row>
    <row r="28">
      <c r="A28" s="17" t="inlineStr">
        <is>
          <t>B · Sube participante</t>
        </is>
      </c>
      <c r="B28" s="44" t="n">
        <v>3500</v>
      </c>
      <c r="C28" s="44" t="n">
        <v>2000</v>
      </c>
      <c r="D28" s="20">
        <f>50*B28+53*C28</f>
        <v/>
      </c>
      <c r="E28" s="20">
        <f>'01 · LADO A Costos'!O14-D28</f>
        <v/>
      </c>
      <c r="F28" s="17" t="inlineStr">
        <is>
          <t>+500 part.</t>
        </is>
      </c>
    </row>
    <row r="29">
      <c r="A29" s="17" t="inlineStr">
        <is>
          <t>C · Baja equipo</t>
        </is>
      </c>
      <c r="B29" s="44" t="n">
        <v>3000</v>
      </c>
      <c r="C29" s="44" t="n">
        <v>1500</v>
      </c>
      <c r="D29" s="20">
        <f>50*B29+53*C29</f>
        <v/>
      </c>
      <c r="E29" s="20">
        <f>'01 · LADO A Costos'!O14-D29</f>
        <v/>
      </c>
      <c r="F29" s="17" t="inlineStr">
        <is>
          <t>−500 equipo</t>
        </is>
      </c>
    </row>
    <row r="30">
      <c r="A30" s="17" t="inlineStr">
        <is>
          <t>D · Ambas suben</t>
        </is>
      </c>
      <c r="B30" s="44" t="n">
        <v>3500</v>
      </c>
      <c r="C30" s="44" t="n">
        <v>2500</v>
      </c>
      <c r="D30" s="20">
        <f>50*B30+53*C30</f>
        <v/>
      </c>
      <c r="E30" s="20">
        <f>'01 · LADO A Costos'!O14-D30</f>
        <v/>
      </c>
      <c r="F30" s="17" t="inlineStr">
        <is>
          <t>colchón mayor</t>
        </is>
      </c>
    </row>
    <row r="32">
      <c r="A32" s="41" t="inlineStr">
        <is>
          <t>5 · DONACIONES EN ESPECIE (potencial — bajan la brecha peso a peso)</t>
        </is>
      </c>
      <c r="B32" s="42" t="n"/>
      <c r="C32" s="42" t="n"/>
      <c r="D32" s="42" t="n"/>
      <c r="E32" s="42" t="n"/>
      <c r="F32" s="42" t="n"/>
    </row>
    <row r="33">
      <c r="A33" s="30" t="inlineStr">
        <is>
          <t>Ítems marcados 'Donable = S' en el LADO A. Si se consiguen donados (biblias, peces, café, arroz, habichuelas, aceite, camisetas, etc.), su valor sale del costo y reduce la brecha directamente.</t>
        </is>
      </c>
    </row>
    <row r="34">
      <c r="A34" s="54" t="inlineStr">
        <is>
          <t>Valor donable potencial (LADO A)</t>
        </is>
      </c>
      <c r="B34" s="55" t="n"/>
      <c r="C34" s="55" t="n"/>
      <c r="D34" s="56">
        <f>SUMIF('01 · LADO A Costos'!K5:K74,"S",'01 · LADO A Costos'!G5:G74)</f>
        <v/>
      </c>
      <c r="E34" s="55" t="n"/>
      <c r="F34" s="55" t="n"/>
    </row>
  </sheetData>
  <mergeCells count="8">
    <mergeCell ref="A2:F2"/>
    <mergeCell ref="A33:F33"/>
    <mergeCell ref="A1:F1"/>
    <mergeCell ref="A9:F9"/>
    <mergeCell ref="A32:F32"/>
    <mergeCell ref="A17:F17"/>
    <mergeCell ref="A4:F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5" customWidth="1" min="4" max="4"/>
    <col width="22" customWidth="1" min="5" max="5"/>
    <col width="12" customWidth="1" min="6" max="6"/>
  </cols>
  <sheetData>
    <row r="1">
      <c r="A1" s="40" t="inlineStr">
        <is>
          <t>ETC 88 · CALENDARIO Y FLUJO DE CAJA (Jun–Sep 2026)</t>
        </is>
      </c>
    </row>
    <row r="2">
      <c r="A2" s="32" t="inlineStr">
        <is>
          <t>Ventana de recaudación Jun–Ago; ejecución de pagos en Sep. Celdas amarillas = editables. Especie no entra como caja (reduce costo).</t>
        </is>
      </c>
    </row>
    <row r="4">
      <c r="A4" s="41" t="inlineStr">
        <is>
          <t>A · CRONOGRAMA DE RECAUDACIÓN (Plan A — meta de caja 471,000)</t>
        </is>
      </c>
      <c r="B4" s="42" t="n"/>
      <c r="C4" s="42" t="n"/>
      <c r="D4" s="42" t="n"/>
      <c r="E4" s="42" t="n"/>
      <c r="F4" s="42" t="n"/>
    </row>
    <row r="5">
      <c r="A5" s="43" t="inlineStr">
        <is>
          <t>Mes</t>
        </is>
      </c>
      <c r="B5" s="43" t="inlineStr">
        <is>
          <t>Hito / Actividad</t>
        </is>
      </c>
      <c r="C5" s="43" t="inlineStr">
        <is>
          <t>Fuente</t>
        </is>
      </c>
      <c r="D5" s="43" t="inlineStr">
        <is>
          <t>Meta RD$</t>
        </is>
      </c>
      <c r="E5" s="43" t="inlineStr">
        <is>
          <t>Responsable</t>
        </is>
      </c>
      <c r="F5" s="43" t="inlineStr">
        <is>
          <t>Estado</t>
        </is>
      </c>
    </row>
    <row r="6">
      <c r="A6" s="34" t="inlineStr">
        <is>
          <t>Jun</t>
        </is>
      </c>
      <c r="B6" s="17" t="inlineStr">
        <is>
          <t>1er pago de cuotas (50 part. + 53 equipo)</t>
        </is>
      </c>
      <c r="C6" s="34" t="inlineStr">
        <is>
          <t>Cuotas</t>
        </is>
      </c>
      <c r="D6" s="20" t="n">
        <v>128000</v>
      </c>
      <c r="E6" s="17" t="inlineStr">
        <is>
          <t>Tesorería</t>
        </is>
      </c>
      <c r="F6" s="34" t="inlineStr">
        <is>
          <t>En curso</t>
        </is>
      </c>
    </row>
    <row r="7">
      <c r="A7" s="34" t="inlineStr">
        <is>
          <t>Jun</t>
        </is>
      </c>
      <c r="B7" s="17" t="inlineStr">
        <is>
          <t>Lanzar rifa / profondo (600 boletos)</t>
        </is>
      </c>
      <c r="C7" s="34" t="inlineStr">
        <is>
          <t>Rifa</t>
        </is>
      </c>
      <c r="D7" s="57" t="inlineStr">
        <is>
          <t>—</t>
        </is>
      </c>
      <c r="E7" s="17" t="inlineStr">
        <is>
          <t>Comisión rifa</t>
        </is>
      </c>
      <c r="F7" s="34" t="inlineStr">
        <is>
          <t>En curso</t>
        </is>
      </c>
    </row>
    <row r="8">
      <c r="A8" s="34" t="inlineStr">
        <is>
          <t>Jun</t>
        </is>
      </c>
      <c r="B8" s="17" t="inlineStr">
        <is>
          <t>Gestionar donaciones en especie</t>
        </is>
      </c>
      <c r="C8" s="34" t="inlineStr">
        <is>
          <t>Especie</t>
        </is>
      </c>
      <c r="D8" s="57" t="inlineStr">
        <is>
          <t>(114,701)</t>
        </is>
      </c>
      <c r="E8" s="17" t="inlineStr">
        <is>
          <t>Todo el equipo</t>
        </is>
      </c>
      <c r="F8" s="34" t="inlineStr">
        <is>
          <t>En curso</t>
        </is>
      </c>
    </row>
    <row r="9">
      <c r="A9" s="34" t="inlineStr">
        <is>
          <t>Jul</t>
        </is>
      </c>
      <c r="B9" s="17" t="inlineStr">
        <is>
          <t>2do pago de cuotas</t>
        </is>
      </c>
      <c r="C9" s="34" t="inlineStr">
        <is>
          <t>Cuotas</t>
        </is>
      </c>
      <c r="D9" s="20" t="n">
        <v>128000</v>
      </c>
      <c r="E9" s="17" t="inlineStr">
        <is>
          <t>Tesorería</t>
        </is>
      </c>
      <c r="F9" s="34" t="inlineStr">
        <is>
          <t>Pendiente</t>
        </is>
      </c>
    </row>
    <row r="10">
      <c r="A10" s="34" t="inlineStr">
        <is>
          <t>Jul</t>
        </is>
      </c>
      <c r="B10" s="17" t="inlineStr">
        <is>
          <t>Venta de garaje (artículos donados)</t>
        </is>
      </c>
      <c r="C10" s="34" t="inlineStr">
        <is>
          <t>Garaje</t>
        </is>
      </c>
      <c r="D10" s="20" t="n">
        <v>60000</v>
      </c>
      <c r="E10" s="17" t="inlineStr">
        <is>
          <t>Comisión eventos</t>
        </is>
      </c>
      <c r="F10" s="34" t="inlineStr">
        <is>
          <t>Pendiente</t>
        </is>
      </c>
    </row>
    <row r="11">
      <c r="A11" s="34" t="inlineStr">
        <is>
          <t>Jul</t>
        </is>
      </c>
      <c r="B11" s="17" t="inlineStr">
        <is>
          <t>Venta de comida #1 (sancocho/cherca)</t>
        </is>
      </c>
      <c r="C11" s="34" t="inlineStr">
        <is>
          <t>Comida</t>
        </is>
      </c>
      <c r="D11" s="20" t="n">
        <v>12500</v>
      </c>
      <c r="E11" s="17" t="inlineStr">
        <is>
          <t>Comisión cocina</t>
        </is>
      </c>
      <c r="F11" s="34" t="inlineStr">
        <is>
          <t>Pendiente</t>
        </is>
      </c>
    </row>
    <row r="12">
      <c r="A12" s="34" t="inlineStr">
        <is>
          <t>Ago</t>
        </is>
      </c>
      <c r="B12" s="17" t="inlineStr">
        <is>
          <t>Sorteo de la rifa</t>
        </is>
      </c>
      <c r="C12" s="34" t="inlineStr">
        <is>
          <t>Rifa</t>
        </is>
      </c>
      <c r="D12" s="20" t="n">
        <v>90000</v>
      </c>
      <c r="E12" s="17" t="inlineStr">
        <is>
          <t>Comisión rifa</t>
        </is>
      </c>
      <c r="F12" s="34" t="inlineStr">
        <is>
          <t>Pendiente</t>
        </is>
      </c>
    </row>
    <row r="13">
      <c r="A13" s="34" t="inlineStr">
        <is>
          <t>Ago</t>
        </is>
      </c>
      <c r="B13" s="17" t="inlineStr">
        <is>
          <t>Venta de comida #2</t>
        </is>
      </c>
      <c r="C13" s="34" t="inlineStr">
        <is>
          <t>Comida</t>
        </is>
      </c>
      <c r="D13" s="20" t="n">
        <v>12500</v>
      </c>
      <c r="E13" s="17" t="inlineStr">
        <is>
          <t>Comisión cocina</t>
        </is>
      </c>
      <c r="F13" s="34" t="inlineStr">
        <is>
          <t>Pendiente</t>
        </is>
      </c>
    </row>
    <row r="14">
      <c r="A14" s="34" t="inlineStr">
        <is>
          <t>Ago</t>
        </is>
      </c>
      <c r="B14" s="17" t="inlineStr">
        <is>
          <t>Cierre de donaciones en efectivo</t>
        </is>
      </c>
      <c r="C14" s="34" t="inlineStr">
        <is>
          <t>Efectivo</t>
        </is>
      </c>
      <c r="D14" s="20" t="n">
        <v>40000</v>
      </c>
      <c r="E14" s="17" t="inlineStr">
        <is>
          <t>Tesorería</t>
        </is>
      </c>
      <c r="F14" s="34" t="inlineStr">
        <is>
          <t>Pendiente</t>
        </is>
      </c>
    </row>
    <row r="15">
      <c r="A15" s="46" t="n"/>
      <c r="B15" s="45" t="inlineStr">
        <is>
          <t>Total caja recaudable (Plan A)</t>
        </is>
      </c>
      <c r="C15" s="46" t="n"/>
      <c r="D15" s="47">
        <f>SUMIF(C6:C14,"&lt;&gt;Especie",D6:D14)</f>
        <v/>
      </c>
      <c r="E15" s="46" t="n"/>
      <c r="F15" s="46" t="n"/>
    </row>
    <row r="17">
      <c r="A17" s="41" t="inlineStr">
        <is>
          <t>B · FLUJO DE CAJA PROYECTADO (saldo acumulado = saldo viva)</t>
        </is>
      </c>
      <c r="B17" s="42" t="n"/>
      <c r="C17" s="42" t="n"/>
      <c r="D17" s="42" t="n"/>
      <c r="E17" s="42" t="n"/>
      <c r="F17" s="42" t="n"/>
    </row>
    <row r="18">
      <c r="A18" s="43" t="inlineStr">
        <is>
          <t>Mes</t>
        </is>
      </c>
      <c r="B18" s="43" t="inlineStr">
        <is>
          <t>Entradas RD$</t>
        </is>
      </c>
      <c r="C18" s="43" t="inlineStr">
        <is>
          <t>Salidas RD$</t>
        </is>
      </c>
      <c r="D18" s="43" t="inlineStr">
        <is>
          <t>Saldo del mes</t>
        </is>
      </c>
      <c r="E18" s="43" t="inlineStr">
        <is>
          <t>Saldo acumulado</t>
        </is>
      </c>
      <c r="F18" s="43" t="inlineStr"/>
    </row>
    <row r="19">
      <c r="A19" s="34" t="inlineStr">
        <is>
          <t>Jun</t>
        </is>
      </c>
      <c r="B19" s="44" t="n">
        <v>128000</v>
      </c>
      <c r="C19" s="44" t="n">
        <v>60000</v>
      </c>
      <c r="D19" s="20">
        <f>B19-C19</f>
        <v/>
      </c>
      <c r="E19" s="20">
        <f>D19</f>
        <v/>
      </c>
      <c r="F19" s="17" t="inlineStr">
        <is>
          <t>Salón pagado + anticipo casa</t>
        </is>
      </c>
    </row>
    <row r="20">
      <c r="A20" s="34" t="inlineStr">
        <is>
          <t>Jul</t>
        </is>
      </c>
      <c r="B20" s="44" t="n">
        <v>200500</v>
      </c>
      <c r="C20" s="44" t="n">
        <v>81000</v>
      </c>
      <c r="D20" s="20">
        <f>B20-C20</f>
        <v/>
      </c>
      <c r="E20" s="20">
        <f>E19+D20</f>
        <v/>
      </c>
      <c r="F20" s="17" t="inlineStr">
        <is>
          <t>Biblias, peces, materiales guías</t>
        </is>
      </c>
    </row>
    <row r="21">
      <c r="A21" s="34" t="inlineStr">
        <is>
          <t>Ago</t>
        </is>
      </c>
      <c r="B21" s="44" t="n">
        <v>142500</v>
      </c>
      <c r="C21" s="44" t="n">
        <v>88750</v>
      </c>
      <c r="D21" s="20">
        <f>B21-C21</f>
        <v/>
      </c>
      <c r="E21" s="20">
        <f>E20+D21</f>
        <v/>
      </c>
      <c r="F21" s="17" t="inlineStr">
        <is>
          <t>Anticipo transporte, camisetas, no perecederos</t>
        </is>
      </c>
    </row>
    <row r="22">
      <c r="A22" s="34" t="inlineStr">
        <is>
          <t>Sep</t>
        </is>
      </c>
      <c r="B22" s="44" t="n">
        <v>0</v>
      </c>
      <c r="C22" s="44" t="n">
        <v>209171</v>
      </c>
      <c r="D22" s="20">
        <f>B22-C22</f>
        <v/>
      </c>
      <c r="E22" s="20">
        <f>E21+D22</f>
        <v/>
      </c>
      <c r="F22" s="17" t="inlineStr">
        <is>
          <t>⚠️ MES PICO: casa, perecederos, transporte, ofrendas, imprevistos 10%</t>
        </is>
      </c>
    </row>
    <row r="23">
      <c r="A23" s="22" t="inlineStr">
        <is>
          <t>TOTAL</t>
        </is>
      </c>
      <c r="B23" s="58">
        <f>SUM(B19:B22)</f>
        <v/>
      </c>
      <c r="C23" s="58">
        <f>SUM(C19:C22)</f>
        <v/>
      </c>
      <c r="D23" s="23">
        <f>B23-C23</f>
        <v/>
      </c>
      <c r="E23" s="23">
        <f>E22</f>
        <v/>
      </c>
      <c r="F23" s="48" t="n"/>
    </row>
    <row r="25">
      <c r="A25" s="32" t="inlineStr">
        <is>
          <t>Saldo acumulado final = margen sobre el LADO A (caja). Salidas excluyen especie donada (~114,701). El mes pico es septiembre: asegurar liquidez ANTES del retiro.</t>
        </is>
      </c>
    </row>
  </sheetData>
  <mergeCells count="5">
    <mergeCell ref="A2:F2"/>
    <mergeCell ref="A1:F1"/>
    <mergeCell ref="A17:F17"/>
    <mergeCell ref="A4:F4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4" customWidth="1" min="4" max="4"/>
    <col width="14" customWidth="1" min="5" max="5"/>
    <col width="16" customWidth="1" min="6" max="6"/>
    <col width="24" customWidth="1" min="7" max="7"/>
    <col width="14" customWidth="1" min="8" max="8"/>
  </cols>
  <sheetData>
    <row r="1">
      <c r="A1" s="31" t="inlineStr">
        <is>
          <t>ETC 88 · CAJA — MOVIMIENTOS REALES (Tesorería)</t>
        </is>
      </c>
    </row>
    <row r="2">
      <c r="A2" s="32" t="inlineStr">
        <is>
          <t>Registro de dinero efectivamente movido. Saldo = fórmula viva. Confirmar dirección/medio de cada movimiento con Tesorería.</t>
        </is>
      </c>
    </row>
    <row r="4">
      <c r="A4" s="19" t="inlineStr">
        <is>
          <t>Fecha</t>
        </is>
      </c>
      <c r="B4" s="19" t="inlineStr">
        <is>
          <t>Concepto</t>
        </is>
      </c>
      <c r="C4" s="19" t="inlineStr">
        <is>
          <t>Tipo</t>
        </is>
      </c>
      <c r="D4" s="19" t="inlineStr">
        <is>
          <t>Entrada RD$</t>
        </is>
      </c>
      <c r="E4" s="19" t="inlineStr">
        <is>
          <t>Salida RD$</t>
        </is>
      </c>
      <c r="F4" s="19" t="inlineStr">
        <is>
          <t>Medio</t>
        </is>
      </c>
      <c r="G4" s="19" t="inlineStr">
        <is>
          <t>Referencia / Responsable</t>
        </is>
      </c>
      <c r="H4" s="19" t="inlineStr">
        <is>
          <t>Saldo</t>
        </is>
      </c>
    </row>
    <row r="5">
      <c r="A5" s="34" t="inlineStr">
        <is>
          <t>2026-06-07</t>
        </is>
      </c>
      <c r="B5" s="17" t="inlineStr">
        <is>
          <t>Reserva de la casa (depósito)</t>
        </is>
      </c>
      <c r="C5" s="34" t="inlineStr">
        <is>
          <t>Salida</t>
        </is>
      </c>
      <c r="D5" s="20" t="n">
        <v>0</v>
      </c>
      <c r="E5" s="20" t="n">
        <v>23600</v>
      </c>
      <c r="F5" s="34" t="inlineStr">
        <is>
          <t>Transferencia</t>
        </is>
      </c>
      <c r="G5" s="17" t="inlineStr">
        <is>
          <t>Casa La Ceiba del Salado</t>
        </is>
      </c>
      <c r="H5" s="20">
        <f>D5-E5</f>
        <v/>
      </c>
    </row>
    <row r="6">
      <c r="A6" s="34" t="inlineStr">
        <is>
          <t>2026-06-07</t>
        </is>
      </c>
      <c r="B6" s="17" t="inlineStr">
        <is>
          <t>Reserva devuelta</t>
        </is>
      </c>
      <c r="C6" s="34" t="inlineStr">
        <is>
          <t>Entrada</t>
        </is>
      </c>
      <c r="D6" s="20" t="n">
        <v>23600</v>
      </c>
      <c r="E6" s="20" t="n">
        <v>0</v>
      </c>
      <c r="F6" s="34" t="inlineStr">
        <is>
          <t>Transferencia</t>
        </is>
      </c>
      <c r="G6" s="17" t="inlineStr">
        <is>
          <t>Casa La Ceiba del Salado</t>
        </is>
      </c>
      <c r="H6" s="20">
        <f>H5+D6-E6</f>
        <v/>
      </c>
    </row>
    <row r="7">
      <c r="A7" s="34" t="inlineStr">
        <is>
          <t>2026-06-07</t>
        </is>
      </c>
      <c r="B7" s="17" t="inlineStr">
        <is>
          <t>Aporte personal J.M. (cubre salón)</t>
        </is>
      </c>
      <c r="C7" s="34" t="inlineStr">
        <is>
          <t>Entrada</t>
        </is>
      </c>
      <c r="D7" s="20" t="n">
        <v>10000</v>
      </c>
      <c r="E7" s="20" t="n">
        <v>0</v>
      </c>
      <c r="F7" s="34" t="inlineStr">
        <is>
          <t>Aporte personal</t>
        </is>
      </c>
      <c r="G7" s="17" t="inlineStr">
        <is>
          <t>Juan Manuel (Co-Dir.)</t>
        </is>
      </c>
      <c r="H7" s="20">
        <f>H6+D7-E7</f>
        <v/>
      </c>
    </row>
    <row r="8">
      <c r="A8" s="34" t="inlineStr">
        <is>
          <t>2026-06-07</t>
        </is>
      </c>
      <c r="B8" s="17" t="inlineStr">
        <is>
          <t>Pago de salón</t>
        </is>
      </c>
      <c r="C8" s="34" t="inlineStr">
        <is>
          <t>Salida</t>
        </is>
      </c>
      <c r="D8" s="20" t="n">
        <v>0</v>
      </c>
      <c r="E8" s="20" t="n">
        <v>10000</v>
      </c>
      <c r="F8" s="34" t="inlineStr">
        <is>
          <t>Efectivo</t>
        </is>
      </c>
      <c r="G8" s="17" t="inlineStr">
        <is>
          <t>Franklin Pozo</t>
        </is>
      </c>
      <c r="H8" s="20">
        <f>H7+D8-E8</f>
        <v/>
      </c>
    </row>
    <row r="9">
      <c r="A9" s="48" t="n"/>
      <c r="B9" s="22" t="inlineStr">
        <is>
          <t>SALDO EN CAJA</t>
        </is>
      </c>
      <c r="C9" s="48" t="n"/>
      <c r="D9" s="58">
        <f>SUM(D5:D8)</f>
        <v/>
      </c>
      <c r="E9" s="58">
        <f>SUM(E5:E8)</f>
        <v/>
      </c>
      <c r="F9" s="48" t="n"/>
      <c r="G9" s="48" t="n"/>
      <c r="H9" s="23">
        <f>H8</f>
        <v/>
      </c>
    </row>
    <row r="11">
      <c r="A11" s="59" t="inlineStr">
        <is>
          <t>DEUDAS POR REEMBOLSAR (aportes personales — el grupo debe devolverlos)</t>
        </is>
      </c>
    </row>
    <row r="12">
      <c r="A12" s="19" t="inlineStr">
        <is>
          <t>Acreedor</t>
        </is>
      </c>
      <c r="B12" s="19" t="inlineStr">
        <is>
          <t>Concepto</t>
        </is>
      </c>
      <c r="C12" s="19" t="inlineStr"/>
      <c r="D12" s="19" t="inlineStr">
        <is>
          <t>Monto RD$</t>
        </is>
      </c>
      <c r="E12" s="19" t="inlineStr"/>
      <c r="F12" s="19" t="inlineStr">
        <is>
          <t>Fecha</t>
        </is>
      </c>
      <c r="G12" s="19" t="inlineStr">
        <is>
          <t>Estado</t>
        </is>
      </c>
      <c r="H12" s="19" t="inlineStr">
        <is>
          <t>Saldo</t>
        </is>
      </c>
    </row>
    <row r="13">
      <c r="A13" s="17" t="inlineStr">
        <is>
          <t>Juan Manuel (Co-Dir.)</t>
        </is>
      </c>
      <c r="B13" s="17" t="inlineStr">
        <is>
          <t>Salón pagado de su dinero personal</t>
        </is>
      </c>
      <c r="C13" s="18" t="n"/>
      <c r="D13" s="44" t="n">
        <v>10000</v>
      </c>
      <c r="E13" s="18" t="n"/>
      <c r="F13" s="34" t="inlineStr">
        <is>
          <t>2026-06-07</t>
        </is>
      </c>
      <c r="G13" s="28" t="inlineStr">
        <is>
          <t>Pendiente</t>
        </is>
      </c>
      <c r="H13" s="18" t="n"/>
    </row>
    <row r="14">
      <c r="A14" s="22" t="inlineStr">
        <is>
          <t>TOTAL ADEUDADO</t>
        </is>
      </c>
      <c r="B14" s="48" t="n"/>
      <c r="C14" s="48" t="n"/>
      <c r="D14" s="23">
        <f>SUM(D13:D13)</f>
        <v/>
      </c>
      <c r="E14" s="48" t="n"/>
      <c r="F14" s="48" t="n"/>
      <c r="G14" s="48" t="n"/>
      <c r="H14" s="48" t="n"/>
    </row>
  </sheetData>
  <mergeCells count="4">
    <mergeCell ref="B13:C13"/>
    <mergeCell ref="A11:H11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52" customWidth="1" min="4" max="4"/>
  </cols>
  <sheetData>
    <row r="1">
      <c r="A1" s="31" t="inlineStr">
        <is>
          <t>ETC 88 · BENCHMARKS Y LECCIONES (ETC 78 / 83 / 85 / 86)</t>
        </is>
      </c>
    </row>
    <row r="2">
      <c r="A2" s="32" t="inlineStr">
        <is>
          <t>Referencia histórica real (ETC 83 cocina y concierto; Carpeta ETC 88). No recalcula el modelo; orienta decisiones.</t>
        </is>
      </c>
    </row>
    <row r="4">
      <c r="A4" s="60" t="inlineStr">
        <is>
          <t>A · CONSOLIDADO MULTI-EDICIÓN (78·79·83·85·86 → 88) — cantidades, rubros y alcances</t>
        </is>
      </c>
      <c r="B4" s="42" t="n"/>
      <c r="C4" s="42" t="n"/>
      <c r="D4" s="42" t="n"/>
    </row>
    <row r="5">
      <c r="A5" s="43" t="inlineStr">
        <is>
          <t>Métrica</t>
        </is>
      </c>
      <c r="B5" s="43" t="inlineStr">
        <is>
          <t>Histórico (78·79·83·85·86)</t>
        </is>
      </c>
      <c r="C5" s="43" t="inlineStr">
        <is>
          <t>ETC 88 (2026)</t>
        </is>
      </c>
      <c r="D5" s="43" t="inlineStr">
        <is>
          <t>Lectura</t>
        </is>
      </c>
    </row>
    <row r="6">
      <c r="A6" s="17" t="inlineStr">
        <is>
          <t>Participantes</t>
        </is>
      </c>
      <c r="B6" s="17" t="inlineStr">
        <is>
          <t>36–47</t>
        </is>
      </c>
      <c r="C6" s="17" t="inlineStr">
        <is>
          <t>50</t>
        </is>
      </c>
      <c r="D6" s="17" t="inlineStr">
        <is>
          <t>El MÁS grande del histórico reciente</t>
        </is>
      </c>
    </row>
    <row r="7">
      <c r="A7" s="17" t="inlineStr">
        <is>
          <t>Equipo total</t>
        </is>
      </c>
      <c r="B7" s="17" t="inlineStr">
        <is>
          <t>36–48</t>
        </is>
      </c>
      <c r="C7" s="17" t="inlineStr">
        <is>
          <t>53 / 50 cubierto</t>
        </is>
      </c>
      <c r="D7" s="17" t="inlineStr">
        <is>
          <t>En el techo; cerrar nº temprano (lección 85)</t>
        </is>
      </c>
    </row>
    <row r="8">
      <c r="A8" s="17" t="inlineStr">
        <is>
          <t>Asesores externos</t>
        </is>
      </c>
      <c r="B8" s="17" t="inlineStr">
        <is>
          <t>4 (86)</t>
        </is>
      </c>
      <c r="C8" s="17" t="inlineStr">
        <is>
          <t>3</t>
        </is>
      </c>
      <c r="D8" s="17" t="inlineStr">
        <is>
          <t>Misma estructura; pagan su cuota</t>
        </is>
      </c>
    </row>
    <row r="9">
      <c r="A9" s="17" t="inlineStr">
        <is>
          <t>Cuota participante</t>
        </is>
      </c>
      <c r="B9" s="17" t="inlineStr">
        <is>
          <t>2,000–4,800</t>
        </is>
      </c>
      <c r="C9" s="17" t="inlineStr">
        <is>
          <t>3,000</t>
        </is>
      </c>
      <c r="D9" s="17" t="inlineStr">
        <is>
          <t>Media-baja; SD(86) cobró 4,800</t>
        </is>
      </c>
    </row>
    <row r="10">
      <c r="A10" s="17" t="inlineStr">
        <is>
          <t>Cuota equipo</t>
        </is>
      </c>
      <c r="B10" s="17" t="inlineStr">
        <is>
          <t>300–2,000</t>
        </is>
      </c>
      <c r="C10" s="17" t="inlineStr">
        <is>
          <t>2,000</t>
        </is>
      </c>
      <c r="D10" s="17">
        <f> SD(86) 2,000 y los asesores la pagan ✅</f>
        <v/>
      </c>
    </row>
    <row r="11">
      <c r="A11" s="17" t="inlineStr">
        <is>
          <t>Casa</t>
        </is>
      </c>
      <c r="B11" s="17" t="inlineStr">
        <is>
          <t>50,000 fijo (78/79) · 4,000/pers (86)</t>
        </is>
      </c>
      <c r="C11" s="17" t="inlineStr">
        <is>
          <t>2,000/pers = 200,000</t>
        </is>
      </c>
      <c r="D11" s="17" t="inlineStr">
        <is>
          <t>Modelo POR PERSONA validado; tu tarifa es la mitad de SD</t>
        </is>
      </c>
    </row>
    <row r="12">
      <c r="A12" s="17" t="inlineStr">
        <is>
          <t>Buses</t>
        </is>
      </c>
      <c r="B12" s="17" t="inlineStr">
        <is>
          <t>1–2</t>
        </is>
      </c>
      <c r="C12" s="17" t="inlineStr">
        <is>
          <t>3</t>
        </is>
      </c>
      <c r="D12" s="17" t="inlineStr">
        <is>
          <t>Verificar si 2 cubren</t>
        </is>
      </c>
    </row>
    <row r="13">
      <c r="A13" s="17" t="inlineStr">
        <is>
          <t>Cocina / mercado</t>
        </is>
      </c>
      <c r="B13" s="17" t="inlineStr">
        <is>
          <t>82,738 (83)</t>
        </is>
      </c>
      <c r="C13" s="17" t="inlineStr">
        <is>
          <t>72,778</t>
        </is>
      </c>
      <c r="D13" s="17" t="inlineStr">
        <is>
          <t>Optimizado, ítems comparables</t>
        </is>
      </c>
    </row>
    <row r="14">
      <c r="A14" s="17" t="inlineStr">
        <is>
          <t>Imprevistos</t>
        </is>
      </c>
      <c r="B14" s="17" t="inlineStr">
        <is>
          <t>10% (83), fijo (86)</t>
        </is>
      </c>
      <c r="C14" s="17" t="inlineStr">
        <is>
          <t>10%</t>
        </is>
      </c>
      <c r="D14" s="17" t="inlineStr">
        <is>
          <t>Alineado</t>
        </is>
      </c>
    </row>
    <row r="15">
      <c r="A15" s="17" t="inlineStr">
        <is>
          <t>Palanca recaudación #1</t>
        </is>
      </c>
      <c r="B15" s="17" t="inlineStr">
        <is>
          <t>Concierto 447K (86) o venta garaje (78/79)</t>
        </is>
      </c>
      <c r="C15" s="17" t="inlineStr">
        <is>
          <t>Profondo: rifa+garaje+comida</t>
        </is>
      </c>
      <c r="D15" s="17" t="inlineStr">
        <is>
          <t>ETC 88 SIN estructura de concierto → vía profondo</t>
        </is>
      </c>
    </row>
    <row r="17">
      <c r="A17" s="60" t="inlineStr">
        <is>
          <t>B · COSTOS REALES ETC 83 — COCINA (gold standard de precios)</t>
        </is>
      </c>
      <c r="B17" s="42" t="n"/>
      <c r="C17" s="42" t="n"/>
      <c r="D17" s="42" t="n"/>
    </row>
    <row r="18">
      <c r="A18" s="43" t="inlineStr">
        <is>
          <t>Partida</t>
        </is>
      </c>
      <c r="B18" s="43" t="inlineStr">
        <is>
          <t>Monto RD$</t>
        </is>
      </c>
      <c r="C18" s="43" t="inlineStr"/>
      <c r="D18" s="43" t="inlineStr">
        <is>
          <t>Comentario</t>
        </is>
      </c>
    </row>
    <row r="19">
      <c r="A19" s="17" t="inlineStr">
        <is>
          <t>Lista del Mercado</t>
        </is>
      </c>
      <c r="B19" s="17" t="inlineStr">
        <is>
          <t>82,738</t>
        </is>
      </c>
      <c r="C19" s="17" t="inlineStr"/>
      <c r="D19" s="17" t="inlineStr">
        <is>
          <t>57+ ítems con precio unitario (2024)</t>
        </is>
      </c>
    </row>
    <row r="20">
      <c r="A20" s="17" t="inlineStr">
        <is>
          <t>Lista Correcaminos (frutas/pan/gas)</t>
        </is>
      </c>
      <c r="B20" s="17" t="inlineStr">
        <is>
          <t>8,370</t>
        </is>
      </c>
      <c r="C20" s="17" t="inlineStr"/>
      <c r="D20" s="17" t="inlineStr">
        <is>
          <t>Aparte del mercado</t>
        </is>
      </c>
    </row>
    <row r="21">
      <c r="A21" s="17" t="inlineStr">
        <is>
          <t>Materiales/detalles (subtotal)</t>
        </is>
      </c>
      <c r="B21" s="17" t="inlineStr">
        <is>
          <t>11,520</t>
        </is>
      </c>
      <c r="C21" s="17" t="inlineStr"/>
      <c r="D21" s="17" t="inlineStr">
        <is>
          <t>+10% imprevistos = 12,672</t>
        </is>
      </c>
    </row>
    <row r="22">
      <c r="A22" s="17" t="inlineStr">
        <is>
          <t>Estado de cuentas cocina</t>
        </is>
      </c>
      <c r="B22" s="17" t="inlineStr">
        <is>
          <t>-1,653</t>
        </is>
      </c>
      <c r="C22" s="17" t="inlineStr"/>
      <c r="D22" s="17" t="inlineStr">
        <is>
          <t>Gastó 15,253 vs aportes 13,600 → DÉFICIT</t>
        </is>
      </c>
    </row>
    <row r="24">
      <c r="A24" s="60" t="inlineStr">
        <is>
          <t>C · BENCHMARK DE RECAUDACIÓN — Concierto «Teofanía de Amor» (2017)</t>
        </is>
      </c>
      <c r="B24" s="42" t="n"/>
      <c r="C24" s="42" t="n"/>
      <c r="D24" s="42" t="n"/>
    </row>
    <row r="25">
      <c r="A25" s="43" t="inlineStr">
        <is>
          <t>Concepto</t>
        </is>
      </c>
      <c r="B25" s="43" t="inlineStr">
        <is>
          <t>Monto RD$</t>
        </is>
      </c>
      <c r="C25" s="43" t="inlineStr"/>
      <c r="D25" s="43" t="inlineStr">
        <is>
          <t>Detalle</t>
        </is>
      </c>
    </row>
    <row r="26">
      <c r="A26" s="17" t="inlineStr">
        <is>
          <t>Venta de taquillas</t>
        </is>
      </c>
      <c r="B26" s="17" t="inlineStr">
        <is>
          <t>149,500</t>
        </is>
      </c>
      <c r="C26" s="17" t="inlineStr"/>
      <c r="D26" s="17" t="inlineStr">
        <is>
          <t>~600 taquillas — la fuente #1</t>
        </is>
      </c>
    </row>
    <row r="27">
      <c r="A27" s="17" t="inlineStr">
        <is>
          <t>Venta de artículos (camisetas, etc.)</t>
        </is>
      </c>
      <c r="B27" s="17" t="inlineStr">
        <is>
          <t>56,450</t>
        </is>
      </c>
      <c r="C27" s="17" t="inlineStr"/>
      <c r="D27" s="17" t="inlineStr">
        <is>
          <t>Antes/durante/después</t>
        </is>
      </c>
    </row>
    <row r="28">
      <c r="A28" s="17" t="inlineStr">
        <is>
          <t>Venta de comida</t>
        </is>
      </c>
      <c r="B28" s="17" t="inlineStr">
        <is>
          <t>17,440</t>
        </is>
      </c>
      <c r="C28" s="17" t="inlineStr"/>
      <c r="D28" s="17" t="inlineStr">
        <is>
          <t>En el evento</t>
        </is>
      </c>
    </row>
    <row r="29">
      <c r="A29" s="17" t="inlineStr">
        <is>
          <t>Patrocinio</t>
        </is>
      </c>
      <c r="B29" s="17" t="inlineStr">
        <is>
          <t>23,300</t>
        </is>
      </c>
      <c r="C29" s="17" t="inlineStr"/>
      <c r="D29" s="17" t="inlineStr">
        <is>
          <t>Empresas/padrinos</t>
        </is>
      </c>
    </row>
    <row r="30">
      <c r="A30" s="17" t="inlineStr">
        <is>
          <t>Donaciones + especie</t>
        </is>
      </c>
      <c r="B30" s="17" t="inlineStr">
        <is>
          <t>14,600</t>
        </is>
      </c>
      <c r="C30" s="17" t="inlineStr"/>
      <c r="D30" s="17" t="inlineStr">
        <is>
          <t>Efectivo + hielo/agua/sillas</t>
        </is>
      </c>
    </row>
    <row r="31">
      <c r="A31" s="17" t="inlineStr">
        <is>
          <t>TOTAL INGRESOS</t>
        </is>
      </c>
      <c r="B31" s="17" t="inlineStr">
        <is>
          <t>274,045</t>
        </is>
      </c>
      <c r="C31" s="17" t="inlineStr"/>
      <c r="D31" s="17" t="inlineStr">
        <is>
          <t>—</t>
        </is>
      </c>
    </row>
    <row r="32">
      <c r="A32" s="17" t="inlineStr">
        <is>
          <t>(−) Gastos del evento</t>
        </is>
      </c>
      <c r="B32" s="17" t="inlineStr">
        <is>
          <t>127,692</t>
        </is>
      </c>
      <c r="C32" s="17" t="inlineStr"/>
      <c r="D32" s="17" t="inlineStr">
        <is>
          <t>Artistas, lugar, audiovisual, promo</t>
        </is>
      </c>
    </row>
    <row r="33">
      <c r="A33" s="17">
        <f> UTILIDAD NETA</f>
        <v/>
      </c>
      <c r="B33" s="17" t="inlineStr">
        <is>
          <t>146,353</t>
        </is>
      </c>
      <c r="C33" s="17" t="inlineStr"/>
      <c r="D33" s="17" t="inlineStr">
        <is>
          <t>Un evento cubrió &gt;½ de una brecha tipo ETC 88</t>
        </is>
      </c>
    </row>
    <row r="34">
      <c r="A34" s="61" t="inlineStr">
        <is>
          <t>ℹ️ Referencia, NO plan para ETC 88: el concierto es la palanca de quien tiene la estructura para montarlo (SD/86 neteó 447K; Teofanía 146K). DECISIÓN ETC 88: recaudar vía actividades pro-fondo (rifa + venta de garaje + venta de comida), no un concierto.</t>
        </is>
      </c>
    </row>
    <row r="36">
      <c r="A36" s="60" t="inlineStr">
        <is>
          <t>D · LECCIONES DE GOBERNANZA (ETC 85 + estado de cuentas ETC 83)</t>
        </is>
      </c>
      <c r="B36" s="42" t="n"/>
      <c r="C36" s="42" t="n"/>
      <c r="D36" s="42" t="n"/>
    </row>
    <row r="37">
      <c r="A37" s="30" t="inlineStr">
        <is>
          <t>• Nombrar un responsable único de Tesorería/Finanzas ANTES de recaudar.</t>
        </is>
      </c>
    </row>
    <row r="38">
      <c r="A38" s="30" t="inlineStr">
        <is>
          <t>• Doble firma para egresos sobre 5,000; cuenta separada del retiro.</t>
        </is>
      </c>
    </row>
    <row r="39">
      <c r="A39" s="30" t="inlineStr">
        <is>
          <t>• Fondo de reserva (~2.5% del total) para imprevistos de último momento.</t>
        </is>
      </c>
    </row>
    <row r="40">
      <c r="A40" s="30" t="inlineStr">
        <is>
          <t>• Límites de gasto por área (cocina, guías, música) acordados al inicio.</t>
        </is>
      </c>
    </row>
    <row r="41">
      <c r="A41" s="30" t="inlineStr">
        <is>
          <t>• Comparar planificado vs. real cada semana; conservar todos los recibos.</t>
        </is>
      </c>
    </row>
    <row r="42">
      <c r="A42" s="30" t="inlineStr">
        <is>
          <t>• La casa suele ser el mayor riesgo (38–40%); asegurar tarifa y exención temprano.</t>
        </is>
      </c>
    </row>
    <row r="43">
      <c r="A43" s="30" t="inlineStr">
        <is>
          <t>• ETC 83 cocina cerró en DÉFICIT (-1,653): los aportes del área no alcanzaron — fijar meta de aportes por área.</t>
        </is>
      </c>
    </row>
    <row r="45">
      <c r="A45" s="60" t="inlineStr">
        <is>
          <t>E · ETC 86 (SANTO DOMINGO) — PRESUPUESTO EJECUTADO REAL (gold standard de granularidad)</t>
        </is>
      </c>
      <c r="B45" s="42" t="n"/>
      <c r="C45" s="42" t="n"/>
      <c r="D45" s="42" t="n"/>
    </row>
    <row r="46">
      <c r="A46" s="43" t="inlineStr">
        <is>
          <t>Concepto</t>
        </is>
      </c>
      <c r="B46" s="43" t="inlineStr">
        <is>
          <t>Monto RD$</t>
        </is>
      </c>
      <c r="C46" s="43" t="inlineStr"/>
      <c r="D46" s="43" t="inlineStr">
        <is>
          <t>Lectura para ETC 88</t>
        </is>
      </c>
    </row>
    <row r="47">
      <c r="A47" s="17" t="inlineStr">
        <is>
          <t>Headcount</t>
        </is>
      </c>
      <c r="B47" s="17" t="inlineStr">
        <is>
          <t>98</t>
        </is>
      </c>
      <c r="C47" s="17" t="inlineStr"/>
      <c r="D47" s="17" t="inlineStr">
        <is>
          <t>46 part. + 48 equipo + 4 asesores ext. (misma estructura de asesores)</t>
        </is>
      </c>
    </row>
    <row r="48">
      <c r="A48" s="17" t="inlineStr">
        <is>
          <t>Casa Manresa Loyola</t>
        </is>
      </c>
      <c r="B48" s="17" t="inlineStr">
        <is>
          <t>392,000</t>
        </is>
      </c>
      <c r="C48" s="17" t="inlineStr"/>
      <c r="D48" s="17" t="inlineStr">
        <is>
          <t>98 × 4,000/pers → el modelo POR PERSONA es real; tu 2,000/pers es la mitad</t>
        </is>
      </c>
    </row>
    <row r="49">
      <c r="A49" s="17" t="inlineStr">
        <is>
          <t>Cuota equipo (asesores incl.)</t>
        </is>
      </c>
      <c r="B49" s="17" t="inlineStr">
        <is>
          <t>2,000</t>
        </is>
      </c>
      <c r="C49" s="17" t="inlineStr"/>
      <c r="D49" s="17" t="inlineStr">
        <is>
          <t>✅ valida tu cuota de equipo y que los asesores la pagan</t>
        </is>
      </c>
    </row>
    <row r="50">
      <c r="A50" s="17" t="inlineStr">
        <is>
          <t>Cuota participante</t>
        </is>
      </c>
      <c r="B50" s="17" t="inlineStr">
        <is>
          <t>4,800</t>
        </is>
      </c>
      <c r="C50" s="17" t="inlineStr"/>
      <c r="D50" s="17" t="inlineStr">
        <is>
          <t>SD cobró 60% más que tu 3,000 (casa más cara)</t>
        </is>
      </c>
    </row>
    <row r="51">
      <c r="A51" s="17" t="inlineStr">
        <is>
          <t>Concierto Marteen Franco</t>
        </is>
      </c>
      <c r="B51" s="17" t="inlineStr">
        <is>
          <t>447,303</t>
        </is>
      </c>
      <c r="C51" s="17" t="inlineStr"/>
      <c r="D51" s="17" t="inlineStr">
        <is>
          <t>Palanca de SD (tienen la estructura). ETC 88 NO va por concierto → pro-fondo</t>
        </is>
      </c>
    </row>
    <row r="52">
      <c r="A52" s="17" t="inlineStr">
        <is>
          <t>Rifa</t>
        </is>
      </c>
      <c r="B52" s="17" t="inlineStr">
        <is>
          <t>20,000</t>
        </is>
      </c>
      <c r="C52" s="17" t="inlineStr"/>
      <c r="D52" s="17" t="inlineStr">
        <is>
          <t>En SD fue marginal; en ETC 88 la rifa+garaje+comida son la vía principal</t>
        </is>
      </c>
    </row>
    <row r="53">
      <c r="A53" s="17" t="inlineStr">
        <is>
          <t>Pez Eteciano</t>
        </is>
      </c>
      <c r="B53" s="17" t="inlineStr">
        <is>
          <t>0</t>
        </is>
      </c>
      <c r="C53" s="17" t="inlineStr"/>
      <c r="D53" s="17" t="inlineStr">
        <is>
          <t>793/u pero DONADO (precedente: el pez se puede donar)</t>
        </is>
      </c>
    </row>
    <row r="54">
      <c r="A54" s="17" t="inlineStr">
        <is>
          <t>Comida ensayo general</t>
        </is>
      </c>
      <c r="B54" s="17" t="inlineStr">
        <is>
          <t>22,860</t>
        </is>
      </c>
      <c r="C54" s="17" t="inlineStr"/>
      <c r="D54" s="17" t="inlineStr">
        <is>
          <t>Ancla de precio para tu almuerzo de ensayo (53 pers.) — revisable</t>
        </is>
      </c>
    </row>
    <row r="55">
      <c r="A55" s="17" t="inlineStr">
        <is>
          <t>Ofrendas a sacerdotes</t>
        </is>
      </c>
      <c r="B55" s="17" t="inlineStr">
        <is>
          <t>~18,000</t>
        </is>
      </c>
      <c r="C55" s="17" t="inlineStr"/>
      <c r="D55" s="17" t="inlineStr">
        <is>
          <t>DECISIÓN ETC 88: mantener su propia estructura de ofrendas (no copiar SD)</t>
        </is>
      </c>
    </row>
    <row r="56">
      <c r="A56" s="17" t="inlineStr">
        <is>
          <t>Becados/subsidiados</t>
        </is>
      </c>
      <c r="B56" s="17" t="inlineStr">
        <is>
          <t>21,600</t>
        </is>
      </c>
      <c r="C56" s="17" t="inlineStr"/>
      <c r="D56" s="17" t="inlineStr">
        <is>
          <t>ETC 88 NO los contempla en el LADO A (posible al final, como contingencia)</t>
        </is>
      </c>
    </row>
    <row r="57">
      <c r="A57" s="17" t="inlineStr">
        <is>
          <t>TOTAL GASTOS</t>
        </is>
      </c>
      <c r="B57" s="17" t="inlineStr">
        <is>
          <t>782,167</t>
        </is>
      </c>
      <c r="C57" s="17" t="inlineStr"/>
      <c r="D57" s="17" t="inlineStr">
        <is>
          <t>Mayor que tu 553,622 por casa 4,000/pers + fiesta/artista</t>
        </is>
      </c>
    </row>
    <row r="58">
      <c r="A58" s="17" t="inlineStr">
        <is>
          <t>TOTAL INGRESOS</t>
        </is>
      </c>
      <c r="B58" s="17" t="inlineStr">
        <is>
          <t>571,964</t>
        </is>
      </c>
      <c r="C58" s="17" t="inlineStr"/>
      <c r="D58" s="17" t="inlineStr">
        <is>
          <t>Mayormente el concierto (447,303), estructura no replicable en ETC 88</t>
        </is>
      </c>
    </row>
    <row r="59">
      <c r="A59" s="17">
        <f> Restan a la comunidad</f>
        <v/>
      </c>
      <c r="B59" s="17" t="inlineStr">
        <is>
          <t>210,203</t>
        </is>
      </c>
      <c r="C59" s="17" t="inlineStr"/>
      <c r="D59" s="17" t="inlineStr">
        <is>
          <t>Aun con concierto, SD cerró CORTO → refuerza 'cerrar en positivo'</t>
        </is>
      </c>
    </row>
    <row r="60">
      <c r="A60" s="61" t="inlineStr">
        <is>
          <t>⭐ ETC 86 confirma: (1) casa por-persona es modelo válido; (2) equipo 2,000 + asesores pagan = correcto. DECISIONES ETC 88: NO concierto (recaudar vía pro-fondo), NO becados en el LADO A (posibles al final), mantener estructura propia de ofrendas. Revisable: comida de ensayo y demás montos.</t>
        </is>
      </c>
    </row>
  </sheetData>
  <mergeCells count="16">
    <mergeCell ref="A1:D1"/>
    <mergeCell ref="A17:D17"/>
    <mergeCell ref="A37:D37"/>
    <mergeCell ref="A40:D40"/>
    <mergeCell ref="A45:D45"/>
    <mergeCell ref="A34:D34"/>
    <mergeCell ref="A4:D4"/>
    <mergeCell ref="A38:D38"/>
    <mergeCell ref="A39:D39"/>
    <mergeCell ref="A43:D43"/>
    <mergeCell ref="A24:D24"/>
    <mergeCell ref="A2:D2"/>
    <mergeCell ref="A41:D41"/>
    <mergeCell ref="A42:D42"/>
    <mergeCell ref="A60:D60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40" customWidth="1" min="4" max="4"/>
  </cols>
  <sheetData>
    <row r="1">
      <c r="A1" s="31" t="inlineStr">
        <is>
          <t>ETC 88 · QUÉ CUBRE CADA CUOTA (participante vs equipo)</t>
        </is>
      </c>
    </row>
    <row r="2">
      <c r="A2" s="32" t="inlineStr">
        <is>
          <t>Mapeo cuota → costo: qué financia cada cuota, qué se completa con palancas/especie y qué partidas son flotantes (van a Guías o Cocina, no a una cuota).</t>
        </is>
      </c>
    </row>
    <row r="4">
      <c r="A4" s="60" t="inlineStr">
        <is>
          <t>A · MAPEO CUOTA → COSTO</t>
        </is>
      </c>
      <c r="B4" s="42" t="n"/>
      <c r="C4" s="42" t="n"/>
      <c r="D4" s="42" t="n"/>
    </row>
    <row r="5">
      <c r="A5" s="43" t="inlineStr">
        <is>
          <t>Cuota</t>
        </is>
      </c>
      <c r="B5" s="43" t="inlineStr">
        <is>
          <t>Monto</t>
        </is>
      </c>
      <c r="C5" s="43" t="inlineStr">
        <is>
          <t>Qué cubre directamente</t>
        </is>
      </c>
      <c r="D5" s="43" t="inlineStr">
        <is>
          <t>Se completa con</t>
        </is>
      </c>
    </row>
    <row r="6" ht="54" customHeight="1">
      <c r="A6" s="27" t="inlineStr">
        <is>
          <t>Participante</t>
        </is>
      </c>
      <c r="B6" s="20" t="n">
        <v>3000</v>
      </c>
      <c r="C6" s="17" t="inlineStr">
        <is>
          <t>Transporte al retiro · comida del retiro · casa (hospedaje) · pez · biblia</t>
        </is>
      </c>
      <c r="D6" s="17" t="inlineStr">
        <is>
          <t>Palancas + especie cubren el resto de su costo real (~5,536/pers), que la cuota no alcanza</t>
        </is>
      </c>
    </row>
    <row r="7" ht="54" customHeight="1">
      <c r="A7" s="27" t="inlineStr">
        <is>
          <t>Equipo</t>
        </is>
      </c>
      <c r="B7" s="20" t="n">
        <v>2000</v>
      </c>
      <c r="C7" s="17" t="inlineStr">
        <is>
          <t>Ensayo general (solo equipo; el participante no va) · prorrateo del alquiler del salón · transporte al retiro · comida del ensayo general · camiseta del equipo</t>
        </is>
      </c>
      <c r="D7" s="17" t="inlineStr">
        <is>
          <t>3 asesores externos pagan su cuota pero auto-cubren su estadía y no llevan camiseta</t>
        </is>
      </c>
    </row>
    <row r="9">
      <c r="A9" s="60" t="inlineStr">
        <is>
          <t>B · ANÁLISIS DE COBERTURA (cuota vs costo real) — vínculos vivos</t>
        </is>
      </c>
      <c r="B9" s="42" t="n"/>
      <c r="C9" s="42" t="n"/>
      <c r="D9" s="42" t="n"/>
    </row>
    <row r="10">
      <c r="A10" s="43" t="inlineStr">
        <is>
          <t>Concepto</t>
        </is>
      </c>
      <c r="B10" s="43" t="inlineStr">
        <is>
          <t>Valor</t>
        </is>
      </c>
      <c r="C10" s="43" t="inlineStr"/>
      <c r="D10" s="43" t="inlineStr">
        <is>
          <t>Nota</t>
        </is>
      </c>
    </row>
    <row r="11">
      <c r="A11" s="17" t="inlineStr">
        <is>
          <t>Costo por persona (LADO A / 100)</t>
        </is>
      </c>
      <c r="B11" s="20">
        <f>'01 · LADO A Costos'!O14/100</f>
        <v/>
      </c>
      <c r="C11" s="18" t="n"/>
      <c r="D11" s="17" t="inlineStr">
        <is>
          <t>Promedio sobre 100 cubiertos</t>
        </is>
      </c>
    </row>
    <row r="12">
      <c r="A12" s="17" t="inlineStr">
        <is>
          <t>Cuota participante</t>
        </is>
      </c>
      <c r="B12" s="20" t="n">
        <v>3000</v>
      </c>
      <c r="C12" s="18" t="n"/>
      <c r="D12" s="17" t="inlineStr">
        <is>
          <t>Confirmada</t>
        </is>
      </c>
    </row>
    <row r="13">
      <c r="A13" s="27">
        <f> Déficit por participante</f>
        <v/>
      </c>
      <c r="B13" s="20">
        <f>3000-'01 · LADO A Costos'!O14/100</f>
        <v/>
      </c>
      <c r="C13" s="18" t="n"/>
      <c r="D13" s="17" t="inlineStr">
        <is>
          <t>Lo que NO cubre su cuota (lo tapan palancas/especie)</t>
        </is>
      </c>
    </row>
    <row r="14">
      <c r="A14" s="17" t="inlineStr">
        <is>
          <t>Cuota equipo</t>
        </is>
      </c>
      <c r="B14" s="20" t="n">
        <v>2000</v>
      </c>
      <c r="C14" s="18" t="n"/>
      <c r="D14" s="17" t="inlineStr">
        <is>
          <t>Confirmada (incl. 3 asesores externos)</t>
        </is>
      </c>
    </row>
    <row r="15">
      <c r="A15" s="27">
        <f> Déficit por equipo cubierto (aprox.)</f>
        <v/>
      </c>
      <c r="B15" s="20">
        <f>2000-'01 · LADO A Costos'!O14/100</f>
        <v/>
      </c>
      <c r="C15" s="18" t="n"/>
      <c r="D15" s="17" t="inlineStr">
        <is>
          <t>Aprox.: equipo no lleva biblia/pez pero suma ensayo+salón+camiseta</t>
        </is>
      </c>
    </row>
    <row r="16">
      <c r="A16" s="17" t="inlineStr">
        <is>
          <t>Cuotas firmes totales</t>
        </is>
      </c>
      <c r="B16" s="20">
        <f>'02 · LADO B Recaudación'!D8</f>
        <v/>
      </c>
      <c r="C16" s="18" t="n"/>
      <c r="D16" s="17" t="inlineStr">
        <is>
          <t>50×3,000 + 53×2,000</t>
        </is>
      </c>
    </row>
    <row r="17">
      <c r="A17" s="17" t="inlineStr">
        <is>
          <t>Cobertura cuotas / LADO A</t>
        </is>
      </c>
      <c r="B17" s="62">
        <f>'02 · LADO B Recaudación'!D8/'01 · LADO A Costos'!O14</f>
        <v/>
      </c>
      <c r="C17" s="18" t="n"/>
      <c r="D17" s="17" t="inlineStr">
        <is>
          <t>El resto exige recaudación</t>
        </is>
      </c>
    </row>
    <row r="19">
      <c r="A19" s="60" t="inlineStr">
        <is>
          <t>C · PARTIDAS FLOTANTES (no las cubre una cuota; van a Guías o Cocina)</t>
        </is>
      </c>
      <c r="B19" s="42" t="n"/>
      <c r="C19" s="42" t="n"/>
      <c r="D19" s="42" t="n"/>
    </row>
    <row r="20">
      <c r="A20" s="30" t="inlineStr">
        <is>
          <t>• Banderín → presupuesto de Guías/Eventos.</t>
        </is>
      </c>
    </row>
    <row r="21">
      <c r="A21" s="30" t="inlineStr">
        <is>
          <t>• Liturgia (formas, vino, ofrenda) → presupuesto de Guías/Litúrgico.</t>
        </is>
      </c>
    </row>
    <row r="22">
      <c r="A22" s="30" t="inlineStr">
        <is>
          <t>• Detalles / regalos → Guías/Eventos.</t>
        </is>
      </c>
    </row>
    <row r="23">
      <c r="A23" s="30" t="inlineStr">
        <is>
          <t>• Biblia y materiales del participante → bloque de Biblias/Materiales (no sale directo de su cuota).</t>
        </is>
      </c>
    </row>
    <row r="25" ht="30" customHeight="1">
      <c r="A25" s="61" t="inlineStr">
        <is>
          <t>⭐ Lectura: la cuota del participante (3,000) NO cubre su costo real (~5,536) — déficit estructural ~2,536/part. que palancas y especie compensan. Por eso ~54% del LADO A exige recaudación.</t>
        </is>
      </c>
    </row>
  </sheetData>
  <mergeCells count="17">
    <mergeCell ref="B13:C13"/>
    <mergeCell ref="A1:D1"/>
    <mergeCell ref="A23:D23"/>
    <mergeCell ref="A9:D9"/>
    <mergeCell ref="B16:C16"/>
    <mergeCell ref="B15:C15"/>
    <mergeCell ref="B11:C11"/>
    <mergeCell ref="A22:D22"/>
    <mergeCell ref="A4:D4"/>
    <mergeCell ref="A20:D20"/>
    <mergeCell ref="A21:D21"/>
    <mergeCell ref="B14:C14"/>
    <mergeCell ref="A25:D25"/>
    <mergeCell ref="A2:D2"/>
    <mergeCell ref="B17:C17"/>
    <mergeCell ref="A19:D1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2026-06-11T23:19:28Z</dcterms:created>
  <dcterms:modified xmlns:dcterms="http://purl.org/dc/terms/" xmlns:xsi="http://www.w3.org/2001/XMLSchema-instance" xsi:type="dcterms:W3CDTF">2026-06-11T23:19:28Z</dcterms:modified>
</cp:coreProperties>
</file>