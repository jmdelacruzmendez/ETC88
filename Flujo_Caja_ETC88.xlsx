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(~53 × $3,000)</t>
        </is>
      </c>
      <c r="B9" s="7" t="n">
        <v>159000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(47 × $1,500–2,000)</t>
        </is>
      </c>
      <c r="B10" s="7" t="n">
        <v>94000</v>
      </c>
      <c r="C10" s="6" t="inlineStr">
        <is>
          <t>[PROPUESTA]</t>
        </is>
      </c>
      <c r="D10" s="6" t="inlineStr">
        <is>
          <t>al tope del rango = $70,500–$94,000; sin cerrar</t>
        </is>
      </c>
    </row>
    <row r="11">
      <c r="A11" s="4" t="inlineStr">
        <is>
          <t>(=) Subtotal CUOTAS</t>
        </is>
      </c>
      <c r="B11" s="5" t="n">
        <v>253000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330281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· recaudación inicia F3 (5-jul) · [EN HOLD]</t>
        </is>
      </c>
    </row>
    <row r="2">
      <c r="A2" s="9" t="inlineStr">
        <is>
          <t>Recaudación de cuotas inicia en la 1ra formación de julio (pago lump o por cuotas, a decisión del miembro). Profondo #1: 31-jul→2-ago. JUNIO sin ingresos: F1/F2 se frontean. Fechas [ESCENARIO]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 desde F3, flexible) [PROPUESTA]</t>
        </is>
      </c>
      <c r="B6" s="18" t="n">
        <v>0</v>
      </c>
      <c r="C6" s="7" t="n">
        <v>23500</v>
      </c>
      <c r="D6" s="7" t="n">
        <v>23500</v>
      </c>
      <c r="E6" s="7" t="n">
        <v>23500</v>
      </c>
      <c r="F6" s="7" t="n">
        <v>70500</v>
      </c>
    </row>
    <row r="7">
      <c r="A7" s="6" t="inlineStr">
        <is>
          <t>Cuotas participantes (desde jul) [ESTIMADO]</t>
        </is>
      </c>
      <c r="B7" s="18" t="n">
        <v>0</v>
      </c>
      <c r="C7" s="7" t="n">
        <v>47700</v>
      </c>
      <c r="D7" s="7" t="n">
        <v>111300</v>
      </c>
      <c r="E7" s="18" t="n">
        <v>0</v>
      </c>
      <c r="F7" s="7" t="n">
        <v>159000</v>
      </c>
    </row>
    <row r="8">
      <c r="A8" s="6" t="inlineStr">
        <is>
          <t>Rifa neta (Profondo #1, 31-jul→2-ago)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49066</v>
      </c>
      <c r="F10" s="7" t="n">
        <v>114066</v>
      </c>
    </row>
    <row r="11">
      <c r="A11" s="19" t="inlineStr">
        <is>
          <t>TOTAL ENTRADAS</t>
        </is>
      </c>
      <c r="B11" s="20" t="n">
        <v>0</v>
      </c>
      <c r="C11" s="21" t="n">
        <v>96200</v>
      </c>
      <c r="D11" s="21" t="n">
        <v>354800</v>
      </c>
      <c r="E11" s="21" t="n">
        <v>132566</v>
      </c>
      <c r="F11" s="21" t="n">
        <v>583566</v>
      </c>
    </row>
    <row r="13">
      <c r="A13" s="22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3" t="inlineStr">
        <is>
          <t>TOTAL SALIDAS</t>
        </is>
      </c>
      <c r="B24" s="24" t="n">
        <v>5300</v>
      </c>
      <c r="C24" s="24" t="n">
        <v>75300</v>
      </c>
      <c r="D24" s="24" t="n">
        <v>206400</v>
      </c>
      <c r="E24" s="24" t="n">
        <v>272966</v>
      </c>
      <c r="F24" s="24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-5300</v>
      </c>
      <c r="C27" s="14" t="n">
        <v>20900</v>
      </c>
      <c r="D27" s="14" t="n">
        <v>148400</v>
      </c>
      <c r="E27" s="14" t="n">
        <v>-140400</v>
      </c>
      <c r="F27" s="13" t="inlineStr"/>
    </row>
    <row r="28">
      <c r="A28" s="4" t="inlineStr">
        <is>
          <t>SALDO ACUMULADO</t>
        </is>
      </c>
      <c r="B28" s="5" t="n">
        <v>-28900</v>
      </c>
      <c r="C28" s="5" t="n">
        <v>-8000</v>
      </c>
      <c r="D28" s="5" t="n">
        <v>140400</v>
      </c>
      <c r="E28" s="25" t="n">
        <v>0</v>
      </c>
      <c r="F28" s="4" t="inlineStr"/>
    </row>
    <row r="29">
      <c r="A29" s="26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7" t="inlineStr">
        <is>
          <t>OPTIMIZACIÓN · palancas para cerrar (o reducir) la brecha</t>
        </is>
      </c>
    </row>
    <row r="2">
      <c r="A2" s="2" t="inlineStr">
        <is>
          <t>Brecha a cubrir con recaudación variable ≈ $330,281. Estas palancas la bajan o la financian:</t>
        </is>
      </c>
    </row>
    <row r="4" ht="24" customHeight="1">
      <c r="A4" s="28" t="inlineStr">
        <is>
          <t>Palanca</t>
        </is>
      </c>
      <c r="B4" s="28" t="inlineStr">
        <is>
          <t>Impacto (RD$)</t>
        </is>
      </c>
      <c r="C4" s="28" t="inlineStr">
        <is>
          <t>Cómo</t>
        </is>
      </c>
      <c r="D4" s="28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+23,500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9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30" t="inlineStr">
        <is>
          <t>Fuente variable</t>
        </is>
      </c>
      <c r="B4" s="30" t="inlineStr">
        <is>
          <t>Monto (RD$)</t>
        </is>
      </c>
      <c r="C4" s="30" t="inlineStr">
        <is>
          <t>Supuesto</t>
        </is>
      </c>
      <c r="D4" s="30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90281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330281</v>
      </c>
      <c r="C8" s="4" t="inlineStr">
        <is>
          <t>debe igualar la brecha $330,281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2026-06-02T22:36:59Z</dcterms:created>
  <dcterms:modified xmlns:dcterms="http://purl.org/dc/terms/" xmlns:xsi="http://www.w3.org/2001/XMLSchema-instance" xsi:type="dcterms:W3CDTF">2026-06-02T22:36:59Z</dcterms:modified>
</cp:coreProperties>
</file>