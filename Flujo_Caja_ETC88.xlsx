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·Modelo" sheetId="1" state="visible" r:id="rId1"/>
    <sheet xmlns:r="http://schemas.openxmlformats.org/officeDocument/2006/relationships" name="2·Topes" sheetId="2" state="visible" r:id="rId2"/>
    <sheet xmlns:r="http://schemas.openxmlformats.org/officeDocument/2006/relationships" name="3·Flujo de caja" sheetId="3" state="visible" r:id="rId3"/>
    <sheet xmlns:r="http://schemas.openxmlformats.org/officeDocument/2006/relationships" name="4·Optimización" sheetId="4" state="visible" r:id="rId4"/>
    <sheet xmlns:r="http://schemas.openxmlformats.org/officeDocument/2006/relationships" name="5·Escena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7EBCC"/>
      <sz val="13"/>
    </font>
    <font>
      <b val="1"/>
      <color rgb="00B25028"/>
      <sz val="11"/>
    </font>
    <font>
      <b val="1"/>
      <color rgb="00F7EBCC"/>
      <sz val="10"/>
    </font>
    <font>
      <b val="1"/>
      <sz val="10"/>
    </font>
    <font>
      <sz val="10"/>
    </font>
    <font>
      <i val="1"/>
      <sz val="10"/>
    </font>
    <font>
      <b val="1"/>
      <color rgb="004A5D2E"/>
    </font>
    <font>
      <b val="1"/>
      <color rgb="00B25028"/>
    </font>
    <font>
      <i val="1"/>
      <color rgb="00B25028"/>
      <sz val="10"/>
    </font>
  </fonts>
  <fills count="10">
    <fill>
      <patternFill/>
    </fill>
    <fill>
      <patternFill patternType="gray125"/>
    </fill>
    <fill>
      <patternFill patternType="solid">
        <fgColor rgb="001B3A52"/>
      </patternFill>
    </fill>
    <fill>
      <patternFill patternType="solid">
        <fgColor rgb="00F3E4BE"/>
      </patternFill>
    </fill>
    <fill>
      <patternFill patternType="solid">
        <fgColor rgb="00B25028"/>
      </patternFill>
    </fill>
    <fill>
      <patternFill patternType="solid">
        <fgColor rgb="00F7E0CF"/>
      </patternFill>
    </fill>
    <fill>
      <patternFill patternType="solid">
        <fgColor rgb="004A5D2E"/>
      </patternFill>
    </fill>
    <fill>
      <patternFill patternType="solid">
        <fgColor rgb="00E7EFD6"/>
      </patternFill>
    </fill>
    <fill>
      <patternFill patternType="solid">
        <fgColor rgb="006B4423"/>
      </patternFill>
    </fill>
    <fill>
      <patternFill patternType="solid">
        <fgColor rgb="00C57920"/>
      </patternFill>
    </fill>
  </fills>
  <borders count="2">
    <border>
      <left/>
      <right/>
      <top/>
      <bottom/>
      <diagonal/>
    </border>
    <border>
      <left style="thin">
        <color rgb="00C9AE76"/>
      </left>
      <right style="thin">
        <color rgb="00C9AE76"/>
      </right>
      <top style="thin">
        <color rgb="00C9AE76"/>
      </top>
      <bottom style="thin">
        <color rgb="00C9AE76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 wrapText="1"/>
    </xf>
    <xf numFmtId="0" fontId="1" fillId="4" borderId="0" applyAlignment="1" pivotButton="0" quotePrefix="0" xfId="0">
      <alignment horizontal="left" vertical="center"/>
    </xf>
    <xf numFmtId="0" fontId="6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 wrapText="1"/>
    </xf>
    <xf numFmtId="0" fontId="1" fillId="6" borderId="0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5" fillId="0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right" vertical="center" wrapText="1"/>
    </xf>
    <xf numFmtId="3" fontId="4" fillId="7" borderId="1" applyAlignment="1" pivotButton="0" quotePrefix="0" xfId="0">
      <alignment horizontal="right" vertical="center" wrapText="1"/>
    </xf>
    <xf numFmtId="0" fontId="8" fillId="0" borderId="0" pivotButton="0" quotePrefix="0" xfId="0"/>
    <xf numFmtId="0" fontId="4" fillId="5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right" vertical="center" wrapText="1"/>
    </xf>
    <xf numFmtId="0" fontId="9" fillId="0" borderId="0" pivotButton="0" quotePrefix="0" xfId="0"/>
    <xf numFmtId="0" fontId="1" fillId="8" borderId="0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4" customWidth="1" min="3" max="3"/>
    <col width="44" customWidth="1" min="4" max="4"/>
  </cols>
  <sheetData>
    <row r="1" ht="28" customHeight="1">
      <c r="A1" s="1" t="inlineStr">
        <is>
          <t>MODELO ECONÓMICO ETC 88 · la ecuación</t>
        </is>
      </c>
    </row>
    <row r="2">
      <c r="A2" s="2" t="inlineStr">
        <is>
          <t>COSTO TOTAL  =  CUOTAS  +  RECAUDACIÓN VARIABLE (rifa + venta de comida + donaciones)</t>
        </is>
      </c>
    </row>
    <row r="4" ht="24" customHeight="1">
      <c r="A4" s="3" t="inlineStr">
        <is>
          <t>Concepto</t>
        </is>
      </c>
      <c r="B4" s="3" t="inlineStr">
        <is>
          <t>Monto (RD$)</t>
        </is>
      </c>
      <c r="C4" s="3" t="inlineStr">
        <is>
          <t>Fuente</t>
        </is>
      </c>
      <c r="D4" s="3" t="inlineStr">
        <is>
          <t>Notas</t>
        </is>
      </c>
    </row>
    <row r="5">
      <c r="A5" s="4" t="inlineStr">
        <is>
          <t>(=) COSTO TOTAL a cubrir (META)</t>
        </is>
      </c>
      <c r="B5" s="5" t="n">
        <v>583281</v>
      </c>
      <c r="C5" s="4" t="inlineStr">
        <is>
          <t>[DATO]</t>
        </is>
      </c>
      <c r="D5" s="4" t="inlineStr">
        <is>
          <t>casa COMPLETA 100 pers + costos + camisetas + avanzada + eventos</t>
        </is>
      </c>
    </row>
    <row r="6">
      <c r="A6" s="6" t="inlineStr">
        <is>
          <t xml:space="preserve">  · del cual, casa de retiro</t>
        </is>
      </c>
      <c r="B6" s="7" t="n">
        <v>200000</v>
      </c>
      <c r="C6" s="6" t="inlineStr">
        <is>
          <t>[DATO]</t>
        </is>
      </c>
      <c r="D6" s="6" t="inlineStr">
        <is>
          <t>100 personas × $2,000 (con exención)</t>
        </is>
      </c>
    </row>
    <row r="7">
      <c r="A7" s="6" t="inlineStr">
        <is>
          <t xml:space="preserve">  · de la casa, deuda al Consejo (1ra salida)</t>
        </is>
      </c>
      <c r="B7" s="7" t="n">
        <v>23600</v>
      </c>
      <c r="C7" s="6" t="inlineStr">
        <is>
          <t>[DATO]</t>
        </is>
      </c>
      <c r="D7" s="6" t="inlineStr">
        <is>
          <t>reserva ya pagada; NO se suma aparte (está dentro de la casa)</t>
        </is>
      </c>
    </row>
    <row r="8">
      <c r="A8" s="6" t="inlineStr"/>
      <c r="B8" s="6" t="n"/>
      <c r="C8" s="6" t="inlineStr"/>
      <c r="D8" s="6" t="inlineStr"/>
    </row>
    <row r="9">
      <c r="A9" s="6" t="inlineStr">
        <is>
          <t>(–) Cuotas participantes (~53 × $3,000)</t>
        </is>
      </c>
      <c r="B9" s="7" t="n">
        <v>159000</v>
      </c>
      <c r="C9" s="6" t="inlineStr">
        <is>
          <t>[ESTIMADO]</t>
        </is>
      </c>
      <c r="D9" s="6" t="inlineStr">
        <is>
          <t>para completar 100 en la casa</t>
        </is>
      </c>
    </row>
    <row r="10">
      <c r="A10" s="6" t="inlineStr">
        <is>
          <t>(–) Cuotas equipo (47 × $1,500–2,000)</t>
        </is>
      </c>
      <c r="B10" s="7" t="n">
        <v>94000</v>
      </c>
      <c r="C10" s="6" t="inlineStr">
        <is>
          <t>[PROPUESTA]</t>
        </is>
      </c>
      <c r="D10" s="6" t="inlineStr">
        <is>
          <t>al tope del rango = $70,500–$94,000; sin cerrar</t>
        </is>
      </c>
    </row>
    <row r="11">
      <c r="A11" s="4" t="inlineStr">
        <is>
          <t>(=) Subtotal CUOTAS</t>
        </is>
      </c>
      <c r="B11" s="5" t="n">
        <v>253000</v>
      </c>
      <c r="C11" s="4" t="inlineStr"/>
      <c r="D11" s="4" t="inlineStr">
        <is>
          <t>lo que aporta la gente directamente</t>
        </is>
      </c>
    </row>
    <row r="12">
      <c r="A12" s="6" t="inlineStr"/>
      <c r="B12" s="6" t="n"/>
      <c r="C12" s="6" t="inlineStr"/>
      <c r="D12" s="6" t="inlineStr"/>
    </row>
    <row r="13">
      <c r="A13" s="4" t="inlineStr">
        <is>
          <t>(=) BRECHA: rifa + venta de comida + donaciones</t>
        </is>
      </c>
      <c r="B13" s="5" t="n">
        <v>330281</v>
      </c>
      <c r="C13" s="4" t="inlineStr"/>
      <c r="D13" s="4" t="inlineStr">
        <is>
          <t>ESTO es lo que la recaudación variable debe levantar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4" customWidth="1" min="3" max="3"/>
    <col width="12" customWidth="1" min="4" max="4"/>
    <col width="30" customWidth="1" min="5" max="5"/>
  </cols>
  <sheetData>
    <row r="1" ht="28" customHeight="1">
      <c r="A1" s="8" t="inlineStr">
        <is>
          <t>TOPES POR ÁREA · cada coord refina en F1 SIN pasar el tope</t>
        </is>
      </c>
    </row>
    <row r="2">
      <c r="A2" s="9" t="inlineStr">
        <is>
          <t>Los 3 CRÍTICOS (casa, transporte, comida) se financian primero. Precios [ESTIMADO]; se ajustan a la baja en F1.</t>
        </is>
      </c>
    </row>
    <row r="4" ht="24" customHeight="1">
      <c r="A4" s="10" t="inlineStr">
        <is>
          <t>Área</t>
        </is>
      </c>
      <c r="B4" s="10" t="inlineStr">
        <is>
          <t>Objetivo (base)</t>
        </is>
      </c>
      <c r="C4" s="10" t="inlineStr">
        <is>
          <t>Tope (máx)</t>
        </is>
      </c>
      <c r="D4" s="10" t="inlineStr">
        <is>
          <t>¿Crítico?</t>
        </is>
      </c>
      <c r="E4" s="10" t="inlineStr">
        <is>
          <t>Notas</t>
        </is>
      </c>
    </row>
    <row r="5">
      <c r="A5" s="11" t="inlineStr">
        <is>
          <t>Casa de retiro</t>
        </is>
      </c>
      <c r="B5" s="12" t="n">
        <v>200000</v>
      </c>
      <c r="C5" s="12" t="n">
        <v>200000</v>
      </c>
      <c r="D5" s="11" t="inlineStr">
        <is>
          <t>CRÍTICO</t>
        </is>
      </c>
      <c r="E5" s="11" t="inlineStr">
        <is>
          <t>financiar primero</t>
        </is>
      </c>
    </row>
    <row r="6">
      <c r="A6" s="11" t="inlineStr">
        <is>
          <t>Transporte</t>
        </is>
      </c>
      <c r="B6" s="12" t="n">
        <v>77500</v>
      </c>
      <c r="C6" s="12" t="n">
        <v>86000</v>
      </c>
      <c r="D6" s="11" t="inlineStr">
        <is>
          <t>CRÍTICO</t>
        </is>
      </c>
      <c r="E6" s="11" t="inlineStr">
        <is>
          <t>financiar primero</t>
        </is>
      </c>
    </row>
    <row r="7">
      <c r="A7" s="11" t="inlineStr">
        <is>
          <t>Cocina (comida + meriendas + decoración)</t>
        </is>
      </c>
      <c r="B7" s="12" t="n">
        <v>82166</v>
      </c>
      <c r="C7" s="12" t="n">
        <v>87800</v>
      </c>
      <c r="D7" s="11" t="inlineStr">
        <is>
          <t>CRÍTICO</t>
        </is>
      </c>
      <c r="E7" s="11" t="inlineStr">
        <is>
          <t>financiar primero</t>
        </is>
      </c>
    </row>
    <row r="8">
      <c r="A8" s="6" t="inlineStr">
        <is>
          <t>Materiales y Litúrgico</t>
        </is>
      </c>
      <c r="B8" s="7" t="n">
        <v>88500</v>
      </c>
      <c r="C8" s="7" t="n">
        <v>95000</v>
      </c>
      <c r="D8" s="6" t="inlineStr"/>
      <c r="E8" s="6" t="inlineStr">
        <is>
          <t>ajustable a la baja</t>
        </is>
      </c>
    </row>
    <row r="9">
      <c r="A9" s="6" t="inlineStr">
        <is>
          <t>Guías (PG)</t>
        </is>
      </c>
      <c r="B9" s="7" t="n">
        <v>17000</v>
      </c>
      <c r="C9" s="7" t="n">
        <v>20000</v>
      </c>
      <c r="D9" s="6" t="inlineStr"/>
      <c r="E9" s="6" t="inlineStr">
        <is>
          <t>ajustable a la baja</t>
        </is>
      </c>
    </row>
    <row r="10">
      <c r="A10" s="6" t="inlineStr">
        <is>
          <t>Música</t>
        </is>
      </c>
      <c r="B10" s="7" t="n">
        <v>4500</v>
      </c>
      <c r="C10" s="7" t="n">
        <v>6000</v>
      </c>
      <c r="D10" s="6" t="inlineStr"/>
      <c r="E10" s="6" t="inlineStr">
        <is>
          <t>ajustable a la baja</t>
        </is>
      </c>
    </row>
    <row r="11">
      <c r="A11" s="6" t="inlineStr">
        <is>
          <t>Eventos formativos (F1–F5 + conviv. + ensayo + bienvenida)</t>
        </is>
      </c>
      <c r="B11" s="7" t="n">
        <v>47315</v>
      </c>
      <c r="C11" s="7" t="n">
        <v>62500</v>
      </c>
      <c r="D11" s="6" t="inlineStr"/>
      <c r="E11" s="6" t="inlineStr">
        <is>
          <t>ajustable a la baja</t>
        </is>
      </c>
    </row>
    <row r="12">
      <c r="A12" s="6" t="inlineStr">
        <is>
          <t>Camisetas</t>
        </is>
      </c>
      <c r="B12" s="7" t="n">
        <v>22400</v>
      </c>
      <c r="C12" s="7" t="n">
        <v>28000</v>
      </c>
      <c r="D12" s="6" t="inlineStr"/>
      <c r="E12" s="6" t="inlineStr">
        <is>
          <t>ajustable a la baja</t>
        </is>
      </c>
    </row>
    <row r="13">
      <c r="A13" s="11" t="inlineStr">
        <is>
          <t>Avanzada (jueves)</t>
        </is>
      </c>
      <c r="B13" s="12" t="n">
        <v>20000</v>
      </c>
      <c r="C13" s="12" t="n">
        <v>24000</v>
      </c>
      <c r="D13" s="11" t="inlineStr">
        <is>
          <t>CRÍTICO</t>
        </is>
      </c>
      <c r="E13" s="11" t="inlineStr">
        <is>
          <t>financiar primero</t>
        </is>
      </c>
    </row>
    <row r="14">
      <c r="A14" s="6" t="inlineStr">
        <is>
          <t>Imprevistos</t>
        </is>
      </c>
      <c r="B14" s="7" t="n">
        <v>23900</v>
      </c>
      <c r="C14" s="7" t="n">
        <v>25000</v>
      </c>
      <c r="D14" s="6" t="inlineStr"/>
      <c r="E14" s="6" t="inlineStr">
        <is>
          <t>ajustable a la baja</t>
        </is>
      </c>
    </row>
    <row r="15">
      <c r="A15" s="4" t="inlineStr">
        <is>
          <t>TOTAL costos</t>
        </is>
      </c>
      <c r="B15" s="5" t="n">
        <v>583281</v>
      </c>
      <c r="C15" s="5" t="n">
        <v>634300</v>
      </c>
      <c r="D15" s="4" t="inlineStr"/>
      <c r="E15" s="4" t="inlineStr">
        <is>
          <t>sin contar la deuda</t>
        </is>
      </c>
    </row>
    <row r="16">
      <c r="A16" s="13" t="inlineStr">
        <is>
          <t>+ Deuda al Consejo</t>
        </is>
      </c>
      <c r="B16" s="14" t="n">
        <v>23600</v>
      </c>
      <c r="C16" s="14" t="n">
        <v>23600</v>
      </c>
      <c r="D16" s="13" t="inlineStr">
        <is>
          <t>CRÍTICO</t>
        </is>
      </c>
      <c r="E16" s="13" t="inlineStr">
        <is>
          <t>primera obligación</t>
        </is>
      </c>
    </row>
    <row r="17">
      <c r="A17" s="4">
        <f> TOTAL A CUBRIR (META)</f>
        <v/>
      </c>
      <c r="B17" s="5" t="n">
        <v>606881</v>
      </c>
      <c r="C17" s="5" t="n">
        <v>657900</v>
      </c>
      <c r="D17" s="4" t="inlineStr"/>
      <c r="E17" s="4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</cols>
  <sheetData>
    <row r="1" ht="28" customHeight="1">
      <c r="A1" s="15" t="inlineStr">
        <is>
          <t>FLUJO DE CAJA MENSUAL · arranca en –$23,600 · recaudación inicia F3 (5-jul) · [EN HOLD]</t>
        </is>
      </c>
    </row>
    <row r="2">
      <c r="A2" s="9" t="inlineStr">
        <is>
          <t>Recaudación de cuotas inicia en la 1ra formación de julio (pago lump o por cuotas, a decisión del miembro). Profondo #1: 31-jul→2-ago. JUNIO sin ingresos: F1/F2 se frontean. Fechas [ESCENARIO] a confirmar.</t>
        </is>
      </c>
    </row>
    <row r="4" ht="24" customHeight="1">
      <c r="A4" s="16" t="inlineStr">
        <is>
          <t>Mes</t>
        </is>
      </c>
      <c r="B4" s="16" t="inlineStr">
        <is>
          <t>jun</t>
        </is>
      </c>
      <c r="C4" s="16" t="inlineStr">
        <is>
          <t>jul</t>
        </is>
      </c>
      <c r="D4" s="16" t="inlineStr">
        <is>
          <t>ago</t>
        </is>
      </c>
      <c r="E4" s="16" t="inlineStr">
        <is>
          <t>sep</t>
        </is>
      </c>
      <c r="F4" s="16" t="inlineStr">
        <is>
          <t>Total</t>
        </is>
      </c>
    </row>
    <row r="5">
      <c r="A5" s="17" t="inlineStr">
        <is>
          <t>ENTRADAS</t>
        </is>
      </c>
    </row>
    <row r="6">
      <c r="A6" s="6" t="inlineStr">
        <is>
          <t>Cuotas equipo ($500/mes desde F3, flexible) [PROPUESTA]</t>
        </is>
      </c>
      <c r="B6" s="18" t="n">
        <v>0</v>
      </c>
      <c r="C6" s="7" t="n">
        <v>23500</v>
      </c>
      <c r="D6" s="7" t="n">
        <v>23500</v>
      </c>
      <c r="E6" s="7" t="n">
        <v>23500</v>
      </c>
      <c r="F6" s="7" t="n">
        <v>70500</v>
      </c>
    </row>
    <row r="7">
      <c r="A7" s="6" t="inlineStr">
        <is>
          <t>Cuotas participantes (desde jul) [ESTIMADO]</t>
        </is>
      </c>
      <c r="B7" s="18" t="n">
        <v>0</v>
      </c>
      <c r="C7" s="7" t="n">
        <v>47700</v>
      </c>
      <c r="D7" s="7" t="n">
        <v>111300</v>
      </c>
      <c r="E7" s="18" t="n">
        <v>0</v>
      </c>
      <c r="F7" s="7" t="n">
        <v>159000</v>
      </c>
    </row>
    <row r="8">
      <c r="A8" s="6" t="inlineStr">
        <is>
          <t>Rifa neta (Profondo #1, 31-jul→2-ago) [ESCENARIO]</t>
        </is>
      </c>
      <c r="B8" s="18" t="n">
        <v>0</v>
      </c>
      <c r="C8" s="18" t="n">
        <v>0</v>
      </c>
      <c r="D8" s="7" t="n">
        <v>180000</v>
      </c>
      <c r="E8" s="18" t="n">
        <v>0</v>
      </c>
      <c r="F8" s="7" t="n">
        <v>180000</v>
      </c>
    </row>
    <row r="9">
      <c r="A9" s="6" t="inlineStr">
        <is>
          <t>Venta de comida (Profondo #2) [ESCENARIO]</t>
        </is>
      </c>
      <c r="B9" s="18" t="n">
        <v>0</v>
      </c>
      <c r="C9" s="18" t="n">
        <v>0</v>
      </c>
      <c r="D9" s="18" t="n">
        <v>0</v>
      </c>
      <c r="E9" s="7" t="n">
        <v>60000</v>
      </c>
      <c r="F9" s="7" t="n">
        <v>60000</v>
      </c>
    </row>
    <row r="10">
      <c r="A10" s="6" t="inlineStr">
        <is>
          <t>Donaciones en efectivo [ESCENARIO]</t>
        </is>
      </c>
      <c r="B10" s="18" t="n">
        <v>0</v>
      </c>
      <c r="C10" s="7" t="n">
        <v>25000</v>
      </c>
      <c r="D10" s="7" t="n">
        <v>40000</v>
      </c>
      <c r="E10" s="7" t="n">
        <v>49066</v>
      </c>
      <c r="F10" s="7" t="n">
        <v>114066</v>
      </c>
    </row>
    <row r="11">
      <c r="A11" s="19" t="inlineStr">
        <is>
          <t>TOTAL ENTRADAS</t>
        </is>
      </c>
      <c r="B11" s="20" t="n">
        <v>0</v>
      </c>
      <c r="C11" s="21" t="n">
        <v>96200</v>
      </c>
      <c r="D11" s="21" t="n">
        <v>354800</v>
      </c>
      <c r="E11" s="21" t="n">
        <v>132566</v>
      </c>
      <c r="F11" s="21" t="n">
        <v>583566</v>
      </c>
    </row>
    <row r="13">
      <c r="A13" s="22" t="inlineStr">
        <is>
          <t>SALIDAS</t>
        </is>
      </c>
    </row>
    <row r="14">
      <c r="A14" s="6" t="inlineStr">
        <is>
          <t>Eventos formativos [ESTIMADO]</t>
        </is>
      </c>
      <c r="B14" s="7" t="n">
        <v>5300</v>
      </c>
      <c r="C14" s="7" t="n">
        <v>5300</v>
      </c>
      <c r="D14" s="7" t="n">
        <v>34000</v>
      </c>
      <c r="E14" s="7" t="n">
        <v>3000</v>
      </c>
      <c r="F14" s="7" t="n">
        <v>47600</v>
      </c>
    </row>
    <row r="15">
      <c r="A15" s="6" t="inlineStr">
        <is>
          <t>Materiales y litúrgico [ESTIMADO]</t>
        </is>
      </c>
      <c r="B15" s="18" t="n">
        <v>0</v>
      </c>
      <c r="C15" s="7" t="n">
        <v>40000</v>
      </c>
      <c r="D15" s="7" t="n">
        <v>48500</v>
      </c>
      <c r="E15" s="18" t="n">
        <v>0</v>
      </c>
      <c r="F15" s="7" t="n">
        <v>88500</v>
      </c>
    </row>
    <row r="16">
      <c r="A16" s="6" t="inlineStr">
        <is>
          <t>Cocina · compras [ESTIMADO]</t>
        </is>
      </c>
      <c r="B16" s="18" t="n">
        <v>0</v>
      </c>
      <c r="C16" s="7" t="n">
        <v>30000</v>
      </c>
      <c r="D16" s="18" t="n">
        <v>0</v>
      </c>
      <c r="E16" s="7" t="n">
        <v>52166</v>
      </c>
      <c r="F16" s="7" t="n">
        <v>82166</v>
      </c>
    </row>
    <row r="17">
      <c r="A17" s="6" t="inlineStr">
        <is>
          <t>Guías · PG [ESTIMADO]</t>
        </is>
      </c>
      <c r="B17" s="18" t="n">
        <v>0</v>
      </c>
      <c r="C17" s="18" t="n">
        <v>0</v>
      </c>
      <c r="D17" s="7" t="n">
        <v>17000</v>
      </c>
      <c r="E17" s="18" t="n">
        <v>0</v>
      </c>
      <c r="F17" s="7" t="n">
        <v>17000</v>
      </c>
    </row>
    <row r="18">
      <c r="A18" s="6" t="inlineStr">
        <is>
          <t>Música [ESTIMADO]</t>
        </is>
      </c>
      <c r="B18" s="18" t="n">
        <v>0</v>
      </c>
      <c r="C18" s="18" t="n">
        <v>0</v>
      </c>
      <c r="D18" s="7" t="n">
        <v>4500</v>
      </c>
      <c r="E18" s="18" t="n">
        <v>0</v>
      </c>
      <c r="F18" s="7" t="n">
        <v>4500</v>
      </c>
    </row>
    <row r="19">
      <c r="A19" s="6" t="inlineStr">
        <is>
          <t>Camisetas [ESTIMADO]</t>
        </is>
      </c>
      <c r="B19" s="18" t="n">
        <v>0</v>
      </c>
      <c r="C19" s="18" t="n">
        <v>0</v>
      </c>
      <c r="D19" s="7" t="n">
        <v>22400</v>
      </c>
      <c r="E19" s="18" t="n">
        <v>0</v>
      </c>
      <c r="F19" s="7" t="n">
        <v>22400</v>
      </c>
    </row>
    <row r="20">
      <c r="A20" s="6" t="inlineStr">
        <is>
          <t>Casa · saldo (200K – 23.6K reserva) [DATO]</t>
        </is>
      </c>
      <c r="B20" s="18" t="n">
        <v>0</v>
      </c>
      <c r="C20" s="18" t="n">
        <v>0</v>
      </c>
      <c r="D20" s="7" t="n">
        <v>80000</v>
      </c>
      <c r="E20" s="7" t="n">
        <v>96400</v>
      </c>
      <c r="F20" s="7" t="n">
        <v>176400</v>
      </c>
    </row>
    <row r="21">
      <c r="A21" s="6" t="inlineStr">
        <is>
          <t>Transporte [ESTIMADO]</t>
        </is>
      </c>
      <c r="B21" s="18" t="n">
        <v>0</v>
      </c>
      <c r="C21" s="18" t="n">
        <v>0</v>
      </c>
      <c r="D21" s="18" t="n">
        <v>0</v>
      </c>
      <c r="E21" s="7" t="n">
        <v>77500</v>
      </c>
      <c r="F21" s="7" t="n">
        <v>77500</v>
      </c>
    </row>
    <row r="22">
      <c r="A22" s="6" t="inlineStr">
        <is>
          <t>Avanzada jueves [ESTIMADO]</t>
        </is>
      </c>
      <c r="B22" s="18" t="n">
        <v>0</v>
      </c>
      <c r="C22" s="18" t="n">
        <v>0</v>
      </c>
      <c r="D22" s="18" t="n">
        <v>0</v>
      </c>
      <c r="E22" s="7" t="n">
        <v>20000</v>
      </c>
      <c r="F22" s="7" t="n">
        <v>20000</v>
      </c>
    </row>
    <row r="23">
      <c r="A23" s="6" t="inlineStr">
        <is>
          <t>Imprevistos (reserva) [ESTIMADO]</t>
        </is>
      </c>
      <c r="B23" s="18" t="n">
        <v>0</v>
      </c>
      <c r="C23" s="18" t="n">
        <v>0</v>
      </c>
      <c r="D23" s="18" t="n">
        <v>0</v>
      </c>
      <c r="E23" s="7" t="n">
        <v>23900</v>
      </c>
      <c r="F23" s="7" t="n">
        <v>23900</v>
      </c>
    </row>
    <row r="24">
      <c r="A24" s="23" t="inlineStr">
        <is>
          <t>TOTAL SALIDAS</t>
        </is>
      </c>
      <c r="B24" s="24" t="n">
        <v>5300</v>
      </c>
      <c r="C24" s="24" t="n">
        <v>75300</v>
      </c>
      <c r="D24" s="24" t="n">
        <v>206400</v>
      </c>
      <c r="E24" s="24" t="n">
        <v>272966</v>
      </c>
      <c r="F24" s="24" t="n">
        <v>559966</v>
      </c>
    </row>
    <row r="26">
      <c r="A26" s="13" t="inlineStr">
        <is>
          <t>Saldo inicial</t>
        </is>
      </c>
      <c r="B26" s="14" t="n">
        <v>-23600</v>
      </c>
      <c r="C26" s="13" t="inlineStr"/>
      <c r="D26" s="13" t="inlineStr"/>
      <c r="E26" s="13" t="inlineStr"/>
      <c r="F26" s="13" t="inlineStr">
        <is>
          <t>deuda al Consejo</t>
        </is>
      </c>
    </row>
    <row r="27">
      <c r="A27" s="13" t="inlineStr">
        <is>
          <t>Neto del mes</t>
        </is>
      </c>
      <c r="B27" s="14" t="n">
        <v>-5300</v>
      </c>
      <c r="C27" s="14" t="n">
        <v>20900</v>
      </c>
      <c r="D27" s="14" t="n">
        <v>148400</v>
      </c>
      <c r="E27" s="14" t="n">
        <v>-140400</v>
      </c>
      <c r="F27" s="13" t="inlineStr"/>
    </row>
    <row r="28">
      <c r="A28" s="4" t="inlineStr">
        <is>
          <t>SALDO ACUMULADO</t>
        </is>
      </c>
      <c r="B28" s="5" t="n">
        <v>-28900</v>
      </c>
      <c r="C28" s="5" t="n">
        <v>-8000</v>
      </c>
      <c r="D28" s="5" t="n">
        <v>140400</v>
      </c>
      <c r="E28" s="25" t="n">
        <v>0</v>
      </c>
      <c r="F28" s="4" t="inlineStr"/>
    </row>
    <row r="29">
      <c r="A29" s="26" t="inlineStr">
        <is>
          <t>⚠ Vigilar: el saldo se aprieta antes de la rifa (ago) y de los pagos grandes de sep (casa, transporte).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40" customWidth="1" min="3" max="3"/>
    <col width="14" customWidth="1" min="4" max="4"/>
  </cols>
  <sheetData>
    <row r="1" ht="28" customHeight="1">
      <c r="A1" s="27" t="inlineStr">
        <is>
          <t>OPTIMIZACIÓN · palancas para cerrar (o reducir) la brecha</t>
        </is>
      </c>
    </row>
    <row r="2">
      <c r="A2" s="2" t="inlineStr">
        <is>
          <t>Brecha a cubrir con recaudación variable ≈ $330,281. Estas palancas la bajan o la financian:</t>
        </is>
      </c>
    </row>
    <row r="4" ht="24" customHeight="1">
      <c r="A4" s="28" t="inlineStr">
        <is>
          <t>Palanca</t>
        </is>
      </c>
      <c r="B4" s="28" t="inlineStr">
        <is>
          <t>Impacto (RD$)</t>
        </is>
      </c>
      <c r="C4" s="28" t="inlineStr">
        <is>
          <t>Cómo</t>
        </is>
      </c>
      <c r="D4" s="28" t="inlineStr">
        <is>
          <t>Estado</t>
        </is>
      </c>
    </row>
    <row r="5">
      <c r="A5" s="6" t="inlineStr">
        <is>
          <t>Mantener la exención de la casa</t>
        </is>
      </c>
      <c r="B5" s="6" t="inlineStr">
        <is>
          <t>−30,000</t>
        </is>
      </c>
      <c r="C5" s="6" t="inlineStr">
        <is>
          <t>Comprar vía RNC de la parroquia de Paul (ya asumido)</t>
        </is>
      </c>
      <c r="D5" s="6" t="inlineStr">
        <is>
          <t>[DATO]</t>
        </is>
      </c>
    </row>
    <row r="6">
      <c r="A6" s="6" t="inlineStr">
        <is>
          <t>Donaciones en especie para cocina</t>
        </is>
      </c>
      <c r="B6" s="6" t="inlineStr">
        <is>
          <t>−15,000 a −25,000</t>
        </is>
      </c>
      <c r="C6" s="6" t="inlineStr">
        <is>
          <t>Arroz, habichuelas, aceite donados (el 79 lo logró)</t>
        </is>
      </c>
      <c r="D6" s="6" t="inlineStr">
        <is>
          <t>[ESCENARIO]</t>
        </is>
      </c>
    </row>
    <row r="7">
      <c r="A7" s="6" t="inlineStr">
        <is>
          <t>Premio de la rifa DONADO</t>
        </is>
      </c>
      <c r="B7" s="6" t="inlineStr">
        <is>
          <t>sube el neto</t>
        </is>
      </c>
      <c r="C7" s="6" t="inlineStr">
        <is>
          <t>Si el premio se dona, casi todo lo vendido es neto</t>
        </is>
      </c>
      <c r="D7" s="6" t="inlineStr">
        <is>
          <t>[ESCENARIO]</t>
        </is>
      </c>
    </row>
    <row r="8">
      <c r="A8" s="6" t="inlineStr">
        <is>
          <t>Recortar en F1 (topes) materiales y cocina</t>
        </is>
      </c>
      <c r="B8" s="6" t="inlineStr">
        <is>
          <t>−15,000 a −25,000</t>
        </is>
      </c>
      <c r="C8" s="6" t="inlineStr">
        <is>
          <t>Son los rubros más grandes; ajustar a la baja con tope</t>
        </is>
      </c>
      <c r="D8" s="6" t="inlineStr">
        <is>
          <t>[ESCENARIO]</t>
        </is>
      </c>
    </row>
    <row r="9">
      <c r="A9" s="6" t="inlineStr">
        <is>
          <t>Cuota del equipo al tope ($2,000 vs $1,500)</t>
        </is>
      </c>
      <c r="B9" s="6" t="inlineStr">
        <is>
          <t>+23,500</t>
        </is>
      </c>
      <c r="C9" s="6" t="inlineStr">
        <is>
          <t>Decisión de la Dirección</t>
        </is>
      </c>
      <c r="D9" s="6" t="inlineStr">
        <is>
          <t>[PROPUESTA]</t>
        </is>
      </c>
    </row>
    <row r="10">
      <c r="A10" s="6" t="inlineStr">
        <is>
          <t>Donaciones en efectivo (empresas)</t>
        </is>
      </c>
      <c r="B10" s="6" t="inlineStr">
        <is>
          <t>cada peso baja la brecha</t>
        </is>
      </c>
      <c r="C10" s="6" t="inlineStr">
        <is>
          <t>Responsabilidad de los Directores (delegable)</t>
        </is>
      </c>
      <c r="D10" s="6" t="inlineStr">
        <is>
          <t>[DATO]</t>
        </is>
      </c>
    </row>
    <row r="11">
      <c r="A11" s="6" t="inlineStr">
        <is>
          <t>Completar 100 en la casa</t>
        </is>
      </c>
      <c r="B11" s="6" t="inlineStr">
        <is>
          <t>cubre su propio costo</t>
        </is>
      </c>
      <c r="C11" s="6" t="inlineStr">
        <is>
          <t>Cada participante paga su casa; llena el cupo (misión)</t>
        </is>
      </c>
      <c r="D11" s="6" t="inlineStr">
        <is>
          <t>[DATO]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40" customWidth="1" min="3" max="3"/>
    <col width="12" customWidth="1" min="4" max="4"/>
  </cols>
  <sheetData>
    <row r="1" ht="28" customHeight="1">
      <c r="A1" s="29" t="inlineStr">
        <is>
          <t>ESCENARIO DE CIERRE · UNA forma de cerrar la brecha — [ESCENARIO], a validar</t>
        </is>
      </c>
    </row>
    <row r="2">
      <c r="A2" s="9" t="inlineStr">
        <is>
          <t>No es una decisión: muestra que la ecuación PUEDE cerrar. Los montos de rifa/comida/donaciones se ajustan.</t>
        </is>
      </c>
    </row>
    <row r="4" ht="24" customHeight="1">
      <c r="A4" s="30" t="inlineStr">
        <is>
          <t>Fuente variable</t>
        </is>
      </c>
      <c r="B4" s="30" t="inlineStr">
        <is>
          <t>Monto (RD$)</t>
        </is>
      </c>
      <c r="C4" s="30" t="inlineStr">
        <is>
          <t>Supuesto</t>
        </is>
      </c>
      <c r="D4" s="30" t="inlineStr">
        <is>
          <t>Estado</t>
        </is>
      </c>
    </row>
    <row r="5">
      <c r="A5" s="6" t="inlineStr">
        <is>
          <t>Rifa neta (Profondo #1)</t>
        </is>
      </c>
      <c r="B5" s="7" t="n">
        <v>180000</v>
      </c>
      <c r="C5" s="6" t="inlineStr">
        <is>
          <t>≈1,800 boletos a $100, premio donado · cierra 2-ago</t>
        </is>
      </c>
      <c r="D5" s="6" t="inlineStr">
        <is>
          <t>[ESCENARIO]</t>
        </is>
      </c>
    </row>
    <row r="6">
      <c r="A6" s="6" t="inlineStr">
        <is>
          <t>Venta de comida (Profondo #2)</t>
        </is>
      </c>
      <c r="B6" s="7" t="n">
        <v>60000</v>
      </c>
      <c r="C6" s="6" t="inlineStr">
        <is>
          <t>benchmark ETC 79</t>
        </is>
      </c>
      <c r="D6" s="6" t="inlineStr">
        <is>
          <t>[ESCENARIO]</t>
        </is>
      </c>
    </row>
    <row r="7">
      <c r="A7" s="6" t="inlineStr">
        <is>
          <t>Donaciones en efectivo</t>
        </is>
      </c>
      <c r="B7" s="7" t="n">
        <v>90281</v>
      </c>
      <c r="C7" s="6" t="inlineStr">
        <is>
          <t>lo que falte tras rifa y comida</t>
        </is>
      </c>
      <c r="D7" s="6" t="inlineStr">
        <is>
          <t>[ESCENARIO]</t>
        </is>
      </c>
    </row>
    <row r="8">
      <c r="A8" s="4">
        <f> TOTAL recaudación variable</f>
        <v/>
      </c>
      <c r="B8" s="5" t="n">
        <v>330281</v>
      </c>
      <c r="C8" s="4" t="inlineStr">
        <is>
          <t>debe igualar la brecha $330,281</t>
        </is>
      </c>
      <c r="D8" s="4" t="inlineStr"/>
    </row>
    <row r="10">
      <c r="A10" s="9" t="inlineStr">
        <is>
          <t>Lectura: la rifa es la palanca #1. Si el premio se dona y la cocina consigue especie, la donación en efectivo necesaria baja.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2026-06-02T19:38:43Z</dcterms:created>
  <dcterms:modified xmlns:dcterms="http://purl.org/dc/terms/" xmlns:xsi="http://www.w3.org/2001/XMLSchema-instance" xsi:type="dcterms:W3CDTF">2026-06-02T19:38:43Z</dcterms:modified>
</cp:coreProperties>
</file>