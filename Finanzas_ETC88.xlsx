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asa" sheetId="2" state="visible" r:id="rId2"/>
    <sheet xmlns:r="http://schemas.openxmlformats.org/officeDocument/2006/relationships" name="Menú" sheetId="3" state="visible" r:id="rId3"/>
    <sheet xmlns:r="http://schemas.openxmlformats.org/officeDocument/2006/relationships" name="Cocina-Compras" sheetId="4" state="visible" r:id="rId4"/>
    <sheet xmlns:r="http://schemas.openxmlformats.org/officeDocument/2006/relationships" name="Materiales-Liturgico" sheetId="5" state="visible" r:id="rId5"/>
    <sheet xmlns:r="http://schemas.openxmlformats.org/officeDocument/2006/relationships" name="Guías" sheetId="6" state="visible" r:id="rId6"/>
    <sheet xmlns:r="http://schemas.openxmlformats.org/officeDocument/2006/relationships" name="Música" sheetId="7" state="visible" r:id="rId7"/>
    <sheet xmlns:r="http://schemas.openxmlformats.org/officeDocument/2006/relationships" name="Formaciones" sheetId="8" state="visible" r:id="rId8"/>
    <sheet xmlns:r="http://schemas.openxmlformats.org/officeDocument/2006/relationships" name="Transporte" sheetId="9" state="visible" r:id="rId9"/>
    <sheet xmlns:r="http://schemas.openxmlformats.org/officeDocument/2006/relationships" name="Recaudación" sheetId="10" state="visible" r:id="rId10"/>
    <sheet xmlns:r="http://schemas.openxmlformats.org/officeDocument/2006/relationships" name="Pagos Equipo" sheetId="11" state="visible" r:id="rId11"/>
    <sheet xmlns:r="http://schemas.openxmlformats.org/officeDocument/2006/relationships" name="Camisetas" sheetId="12" state="visible" r:id="rId12"/>
    <sheet xmlns:r="http://schemas.openxmlformats.org/officeDocument/2006/relationships" name="Cómo usa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7EBCC"/>
      <sz val="13"/>
    </font>
    <font>
      <b val="1"/>
      <color rgb="00F7EBCC"/>
      <sz val="10"/>
    </font>
    <font>
      <sz val="10"/>
    </font>
    <font>
      <b val="1"/>
      <sz val="10"/>
    </font>
    <font>
      <b val="1"/>
      <color rgb="00B25028"/>
      <sz val="12"/>
    </font>
    <font>
      <b val="1"/>
      <color rgb="00B25028"/>
      <sz val="11"/>
    </font>
    <font>
      <b val="1"/>
      <color rgb="00B25028"/>
      <sz val="13"/>
    </font>
    <font>
      <sz val="11"/>
    </font>
  </fonts>
  <fills count="8">
    <fill>
      <patternFill/>
    </fill>
    <fill>
      <patternFill patternType="gray125"/>
    </fill>
    <fill>
      <patternFill patternType="solid">
        <fgColor rgb="001B3A52"/>
      </patternFill>
    </fill>
    <fill>
      <patternFill patternType="solid">
        <fgColor rgb="00F3E4BE"/>
      </patternFill>
    </fill>
    <fill>
      <patternFill patternType="solid">
        <fgColor rgb="00B25028"/>
      </patternFill>
    </fill>
    <fill>
      <patternFill patternType="solid">
        <fgColor rgb="004A5D2E"/>
      </patternFill>
    </fill>
    <fill>
      <patternFill patternType="solid">
        <fgColor rgb="00C57920"/>
      </patternFill>
    </fill>
    <fill>
      <patternFill patternType="solid">
        <fgColor rgb="006B4423"/>
      </patternFill>
    </fill>
  </fills>
  <borders count="2">
    <border>
      <left/>
      <right/>
      <top/>
      <bottom/>
      <diagonal/>
    </border>
    <border>
      <left style="thin">
        <color rgb="00C9AE76"/>
      </left>
      <right style="thin">
        <color rgb="00C9AE76"/>
      </right>
      <top style="thin">
        <color rgb="00C9AE76"/>
      </top>
      <bottom style="thin">
        <color rgb="00C9AE7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 wrapText="1"/>
    </xf>
    <xf numFmtId="0" fontId="1" fillId="7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50" customWidth="1" min="3" max="3"/>
    <col width="14" customWidth="1" min="4" max="4"/>
    <col width="50" customWidth="1" min="5" max="5"/>
  </cols>
  <sheetData>
    <row r="1" ht="28" customHeight="1">
      <c r="A1" s="1" t="inlineStr">
        <is>
          <t>ETC 88 · FINANZAS VIVO · Resumen Ejecutivo (v8 · 2-jun-2026)</t>
        </is>
      </c>
    </row>
    <row r="3" ht="26" customHeight="1">
      <c r="A3" s="2" t="inlineStr">
        <is>
          <t>Concepto</t>
        </is>
      </c>
      <c r="B3" s="2" t="inlineStr">
        <is>
          <t>Mín. (RD$)</t>
        </is>
      </c>
      <c r="C3" s="2" t="inlineStr">
        <is>
          <t>Base</t>
        </is>
      </c>
      <c r="D3" s="2" t="inlineStr">
        <is>
          <t>Máx.</t>
        </is>
      </c>
      <c r="E3" s="2" t="inlineStr">
        <is>
          <t>Notas</t>
        </is>
      </c>
    </row>
    <row r="4">
      <c r="A4" s="3" t="inlineStr">
        <is>
          <t>Casa de retiro (con exención $2,000/p × 100 pers.)</t>
        </is>
      </c>
      <c r="B4" s="4" t="n">
        <v>200000</v>
      </c>
      <c r="C4" s="4" t="n">
        <v>200000</v>
      </c>
      <c r="D4" s="4" t="n">
        <v>200000</v>
      </c>
      <c r="E4" s="3" t="inlineStr">
        <is>
          <t>CON exención · 47 equipo + ~53 part. = 100 en la casa</t>
        </is>
      </c>
    </row>
    <row r="5">
      <c r="A5" s="3" t="inlineStr">
        <is>
          <t>Transporte (SPM→Higüey, equipo + participantes + clausura)</t>
        </is>
      </c>
      <c r="B5" s="4" t="n">
        <v>69000</v>
      </c>
      <c r="C5" s="4" t="n">
        <v>77500</v>
      </c>
      <c r="D5" s="4" t="n">
        <v>86000</v>
      </c>
      <c r="E5" s="3" t="inlineStr">
        <is>
          <t>3 cotizaciones a pedir (Metro, Transportando RD, DominicanBus)</t>
        </is>
      </c>
    </row>
    <row r="6">
      <c r="A6" s="3" t="inlineStr">
        <is>
          <t>Cocina · Mercado (canasta)</t>
        </is>
      </c>
      <c r="B6" s="4" t="n">
        <v>59000</v>
      </c>
      <c r="C6" s="4" t="n">
        <v>62410</v>
      </c>
      <c r="D6" s="4" t="n">
        <v>65800</v>
      </c>
      <c r="E6" s="3" t="inlineStr">
        <is>
          <t>La casa INCLUYE gas; no se compra gasoil</t>
        </is>
      </c>
    </row>
    <row r="7">
      <c r="A7" s="3" t="inlineStr">
        <is>
          <t>Cocina · Meriendas / Correcaminos</t>
        </is>
      </c>
      <c r="B7" s="4" t="n">
        <v>9000</v>
      </c>
      <c r="C7" s="4" t="n">
        <v>9756</v>
      </c>
      <c r="D7" s="4" t="n">
        <v>10000</v>
      </c>
      <c r="E7" s="3" t="inlineStr"/>
    </row>
    <row r="8">
      <c r="A8" s="3" t="inlineStr">
        <is>
          <t>Cocina · Decoración / motivos comedor</t>
        </is>
      </c>
      <c r="B8" s="4" t="n">
        <v>8000</v>
      </c>
      <c r="C8" s="4" t="n">
        <v>10000</v>
      </c>
      <c r="D8" s="4" t="n">
        <v>12000</v>
      </c>
      <c r="E8" s="3" t="inlineStr">
        <is>
          <t>Foami, velas, flores, cajitas, hilo (ref. ETC 78)</t>
        </is>
      </c>
    </row>
    <row r="9">
      <c r="A9" s="3" t="inlineStr">
        <is>
          <t>Materiales y Litúrgico (itemizado)</t>
        </is>
      </c>
      <c r="B9" s="4" t="n">
        <v>80000</v>
      </c>
      <c r="C9" s="4" t="n">
        <v>88500</v>
      </c>
      <c r="D9" s="4" t="n">
        <v>95000</v>
      </c>
      <c r="E9" s="3" t="inlineStr">
        <is>
          <t>Peces + Biblias + Banderín + Rosarios + Cofre palancas + Vino + Ofrenda confesores</t>
        </is>
      </c>
    </row>
    <row r="10">
      <c r="A10" s="3" t="inlineStr">
        <is>
          <t>Guías · Materiales del PG (libretas, sobres, alambre…)</t>
        </is>
      </c>
      <c r="B10" s="4" t="n">
        <v>14000</v>
      </c>
      <c r="C10" s="4" t="n">
        <v>17000</v>
      </c>
      <c r="D10" s="4" t="n">
        <v>20000</v>
      </c>
      <c r="E10" s="3" t="inlineStr">
        <is>
          <t>Libretas para participantes EN ESTE rubro</t>
        </is>
      </c>
    </row>
    <row r="11">
      <c r="A11" s="3" t="inlineStr">
        <is>
          <t>Música · Impresión cancionero + cables/respaldo</t>
        </is>
      </c>
      <c r="B11" s="4" t="n">
        <v>3000</v>
      </c>
      <c r="C11" s="4" t="n">
        <v>4500</v>
      </c>
      <c r="D11" s="4" t="n">
        <v>6000</v>
      </c>
      <c r="E11" s="3" t="inlineStr">
        <is>
          <t>La casa tiene sonido; solo respaldo</t>
        </is>
      </c>
    </row>
    <row r="12">
      <c r="A12" s="3" t="inlineStr">
        <is>
          <t>Formaciones F1–F5 (5 sesiones · refrigerio + local)</t>
        </is>
      </c>
      <c r="B12" s="4" t="n">
        <v>13000</v>
      </c>
      <c r="C12" s="4" t="n">
        <v>16315</v>
      </c>
      <c r="D12" s="4" t="n">
        <v>20000</v>
      </c>
      <c r="E12" s="3" t="inlineStr"/>
    </row>
    <row r="13">
      <c r="A13" s="3" t="inlineStr">
        <is>
          <t>Convivencia del equipo (22-ago · día completo)</t>
        </is>
      </c>
      <c r="B13" s="4" t="n">
        <v>8000</v>
      </c>
      <c r="C13" s="4" t="n">
        <v>12000</v>
      </c>
      <c r="D13" s="4" t="n">
        <v>18000</v>
      </c>
      <c r="E13" s="3" t="inlineStr">
        <is>
          <t>Miniretiro; confirmar si incluye almuerzo del equipo y local</t>
        </is>
      </c>
    </row>
    <row r="14">
      <c r="A14" s="3" t="inlineStr">
        <is>
          <t>Ensayo General (23-ago · INCLUYE el almuerzo del equipo)</t>
        </is>
      </c>
      <c r="B14" s="4" t="n">
        <v>12000</v>
      </c>
      <c r="C14" s="4" t="n">
        <v>16000</v>
      </c>
      <c r="D14" s="4" t="n">
        <v>20000</v>
      </c>
      <c r="E14" s="3" t="inlineStr">
        <is>
          <t>Almuerzo ~52 personas + refrigerio + local</t>
        </is>
      </c>
    </row>
    <row r="15">
      <c r="A15" s="3" t="inlineStr">
        <is>
          <t>Bienvenida post-ETC (9-sep · bizcocho)</t>
        </is>
      </c>
      <c r="B15" s="4" t="n">
        <v>2000</v>
      </c>
      <c r="C15" s="4" t="n">
        <v>3000</v>
      </c>
      <c r="D15" s="4" t="n">
        <v>4500</v>
      </c>
      <c r="E15" s="3" t="inlineStr">
        <is>
          <t>Bizcocho de bienvenida de los nuevos (1ra reunión post-retiro)</t>
        </is>
      </c>
    </row>
    <row r="16">
      <c r="A16" s="3" t="inlineStr">
        <is>
          <t>Camisetas del equipo (~56 × est.)</t>
        </is>
      </c>
      <c r="B16" s="4" t="n">
        <v>19600</v>
      </c>
      <c r="C16" s="4" t="n">
        <v>22400</v>
      </c>
      <c r="D16" s="4" t="n">
        <v>28000</v>
      </c>
      <c r="E16" s="3" t="inlineStr">
        <is>
          <t>Tallas PARCIALES (ver pestaña Camisetas); faltan invitados pendientes + Paul, Frank y la Sor. Mockup tras el Design System.</t>
        </is>
      </c>
    </row>
    <row r="17">
      <c r="A17" s="3" t="inlineStr">
        <is>
          <t>Avanzada jueves 3-sep (porción casa + 3 comidas del equipo que adelanta)</t>
        </is>
      </c>
      <c r="B17" s="4" t="n">
        <v>15000</v>
      </c>
      <c r="C17" s="4" t="n">
        <v>20000</v>
      </c>
      <c r="D17" s="4" t="n">
        <v>24000</v>
      </c>
      <c r="E17" s="3" t="inlineStr">
        <is>
          <t>CONFIRMAR con la casa la tarifa de noche/día extra; depende de cuántos adelantan (cocina). Desayuno + almuerzo + cena de ese día.</t>
        </is>
      </c>
    </row>
    <row r="18">
      <c r="A18" s="3" t="inlineStr">
        <is>
          <t>Imprevistos 5%</t>
        </is>
      </c>
      <c r="B18" s="4" t="n">
        <v>22000</v>
      </c>
      <c r="C18" s="4" t="n">
        <v>23900</v>
      </c>
      <c r="D18" s="4" t="n">
        <v>25000</v>
      </c>
      <c r="E18" s="3" t="inlineStr"/>
    </row>
    <row r="19">
      <c r="A19" s="3" t="inlineStr">
        <is>
          <t>Casa SIN exención ($2,300/p × 100) — alternativa</t>
        </is>
      </c>
      <c r="B19" s="4" t="n">
        <v>230000</v>
      </c>
      <c r="C19" s="4" t="n">
        <v>230000</v>
      </c>
      <c r="D19" s="4" t="n">
        <v>230000</v>
      </c>
      <c r="E19" s="3" t="inlineStr">
        <is>
          <t>Si NO se consigue exención: reemplaza la línea de casa (no se suma aquí)</t>
        </is>
      </c>
    </row>
    <row r="20">
      <c r="A20" s="3" t="inlineStr"/>
      <c r="B20" s="3" t="n"/>
      <c r="C20" s="3" t="n"/>
      <c r="D20" s="3" t="n"/>
      <c r="E20" s="3" t="inlineStr"/>
    </row>
    <row r="21">
      <c r="A21" s="5" t="inlineStr">
        <is>
          <t>TOTAL ESTIMADO (con exención)</t>
        </is>
      </c>
      <c r="B21" s="6" t="n">
        <v>533600</v>
      </c>
      <c r="C21" s="6" t="n">
        <v>583281</v>
      </c>
      <c r="D21" s="6" t="n">
        <v>634300</v>
      </c>
      <c r="E21" s="5" t="inlineStr">
        <is>
          <t>Casa a 100 personas; precios ESTIMADOS a validar en F1</t>
        </is>
      </c>
    </row>
    <row r="24">
      <c r="A24" s="7" t="inlineStr">
        <is>
          <t>BRECHA Y RECAUDACIÓN</t>
        </is>
      </c>
    </row>
    <row r="25" ht="26" customHeight="1">
      <c r="A25" s="8" t="inlineStr">
        <is>
          <t>Concepto</t>
        </is>
      </c>
      <c r="B25" s="8" t="inlineStr">
        <is>
          <t>Monto</t>
        </is>
      </c>
      <c r="C25" s="8" t="inlineStr">
        <is>
          <t>Notas</t>
        </is>
      </c>
    </row>
    <row r="26">
      <c r="A26" s="3" t="inlineStr">
        <is>
          <t>(=) Costo total a cubrir = META de recaudación</t>
        </is>
      </c>
      <c r="B26" s="4" t="n">
        <v>583281</v>
      </c>
      <c r="C26" s="3" t="inlineStr">
        <is>
          <t>Incluye la casa completa; precios ESTIMADOS a validar en F1. La meta NO es fija: es el costo.</t>
        </is>
      </c>
    </row>
    <row r="27">
      <c r="A27" s="3" t="inlineStr">
        <is>
          <t xml:space="preserve">    · de la casa ($200,000), $23,600 se deben al Consejo</t>
        </is>
      </c>
      <c r="B27" s="3" t="n"/>
      <c r="C27" s="3" t="inlineStr">
        <is>
          <t>Reserva (10%) ya pagada por JM; es la PRIMERA salida. Arrancamos en negativo (NO se suma: ya está dentro de la casa).</t>
        </is>
      </c>
    </row>
    <row r="28">
      <c r="A28" s="3" t="inlineStr">
        <is>
          <t>(-) Cuotas participantes (~53 × $3,000)</t>
        </is>
      </c>
      <c r="B28" s="4" t="n">
        <v>159000</v>
      </c>
      <c r="C28" s="3" t="inlineStr">
        <is>
          <t>Para completar 100 en la casa · confirmado $3,000/participante</t>
        </is>
      </c>
    </row>
    <row r="29">
      <c r="A29" s="3" t="inlineStr">
        <is>
          <t>(-) Cuotas equipo (47 × $1,500–2,000)</t>
        </is>
      </c>
      <c r="B29" s="4" t="n">
        <v>82250</v>
      </c>
      <c r="C29" s="3" t="inlineStr">
        <is>
          <t>[PROPUESTA] $500/mes · SIN CERRAR · rango $70,500–$94,000</t>
        </is>
      </c>
    </row>
    <row r="30">
      <c r="A30" s="3" t="inlineStr">
        <is>
          <t>(=) BRECHA: rifa + venta de comida + donaciones</t>
        </is>
      </c>
      <c r="B30" s="4" t="n">
        <v>342031</v>
      </c>
      <c r="C30" s="3" t="inlineStr">
        <is>
          <t>Montos VARIABLES (lo que se recaude). Rifa = primera actividad. Donaciones = responsabilidad de Directores.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4" customWidth="1" min="4" max="4"/>
    <col width="40" customWidth="1" min="5" max="5"/>
  </cols>
  <sheetData>
    <row r="1" ht="28" customHeight="1">
      <c r="A1" s="1" t="inlineStr">
        <is>
          <t>CASA DE RETIRO · La Ceiba del Salado, Higüey · Samuel Montilla</t>
        </is>
      </c>
    </row>
    <row r="3" ht="26" customHeight="1">
      <c r="A3" s="2" t="inlineStr">
        <is>
          <t>Concepto</t>
        </is>
      </c>
      <c r="B3" s="2" t="inlineStr">
        <is>
          <t>Personas</t>
        </is>
      </c>
      <c r="C3" s="2" t="inlineStr">
        <is>
          <t>$/persona</t>
        </is>
      </c>
      <c r="D3" s="2" t="inlineStr">
        <is>
          <t>Total</t>
        </is>
      </c>
      <c r="E3" s="2" t="inlineStr">
        <is>
          <t>Notas</t>
        </is>
      </c>
    </row>
    <row r="4">
      <c r="A4" s="3" t="inlineStr">
        <is>
          <t>SIN exención</t>
        </is>
      </c>
      <c r="B4" s="4" t="n">
        <v>100</v>
      </c>
      <c r="C4" s="4" t="n">
        <v>2300</v>
      </c>
      <c r="D4" s="4" t="n">
        <v>230000</v>
      </c>
      <c r="E4" s="3" t="inlineStr">
        <is>
          <t>Tarifa estándar · piso de 100 personas</t>
        </is>
      </c>
    </row>
    <row r="5">
      <c r="A5" s="3" t="inlineStr">
        <is>
          <t>CON exención (RNC parroquia de Paul)</t>
        </is>
      </c>
      <c r="B5" s="4" t="n">
        <v>100</v>
      </c>
      <c r="C5" s="4" t="n">
        <v>2000</v>
      </c>
      <c r="D5" s="4" t="n">
        <v>200000</v>
      </c>
      <c r="E5" s="3" t="inlineStr">
        <is>
          <t>AHORRO $30,000 · diferencia $300/persona</t>
        </is>
      </c>
    </row>
    <row r="6">
      <c r="A6" s="3" t="inlineStr">
        <is>
          <t>Reserva 10% pagada 5-mar (Juan Manuel · devuelto)</t>
        </is>
      </c>
      <c r="B6" s="3" t="n"/>
      <c r="C6" s="3" t="n"/>
      <c r="D6" s="4" t="n">
        <v>23600</v>
      </c>
      <c r="E6" s="3" t="inlineStr">
        <is>
          <t>DEUDA INICIAL al Consejo · primera obligación</t>
        </is>
      </c>
    </row>
    <row r="7">
      <c r="A7" s="3" t="inlineStr">
        <is>
          <t>Saldo con exención tras la deuda</t>
        </is>
      </c>
      <c r="B7" s="3" t="n"/>
      <c r="C7" s="3" t="n"/>
      <c r="D7" s="4" t="n">
        <v>176400</v>
      </c>
      <c r="E7" s="3" t="inlineStr">
        <is>
          <t>200,000 - 23,600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2" customWidth="1" min="4" max="4"/>
    <col width="16" customWidth="1" min="5" max="5"/>
    <col width="24" customWidth="1" min="6" max="6"/>
  </cols>
  <sheetData>
    <row r="1" ht="28" customHeight="1">
      <c r="A1" s="9" t="inlineStr">
        <is>
          <t>MENÚ POR TIEMPO DE COMIDA · estructura sin precios (a llenar)</t>
        </is>
      </c>
    </row>
    <row r="3" ht="26" customHeight="1">
      <c r="A3" s="10" t="inlineStr">
        <is>
          <t>Día</t>
        </is>
      </c>
      <c r="B3" s="10" t="inlineStr">
        <is>
          <t>Tiempo</t>
        </is>
      </c>
      <c r="C3" s="10" t="inlineStr">
        <is>
          <t>Plato principal</t>
        </is>
      </c>
      <c r="D3" s="10" t="inlineStr">
        <is>
          <t>Acompañante</t>
        </is>
      </c>
      <c r="E3" s="10" t="inlineStr">
        <is>
          <t>Bebida</t>
        </is>
      </c>
      <c r="F3" s="10" t="inlineStr">
        <is>
          <t>Postre/Notas</t>
        </is>
      </c>
    </row>
    <row r="4">
      <c r="A4" s="3" t="inlineStr">
        <is>
          <t>Viernes</t>
        </is>
      </c>
      <c r="B4" s="3" t="inlineStr">
        <is>
          <t>Cena (8:00pm)</t>
        </is>
      </c>
      <c r="C4" s="3" t="inlineStr">
        <is>
          <t>Pasta con bechamel/Prego (sin marisco)</t>
        </is>
      </c>
      <c r="D4" s="3" t="inlineStr">
        <is>
          <t>Pan + ensalada</t>
        </is>
      </c>
      <c r="E4" s="3" t="inlineStr">
        <is>
          <t>Jugo + agua</t>
        </is>
      </c>
      <c r="F4" s="3" t="inlineStr">
        <is>
          <t>Bizcocho · motivo de bienvenida</t>
        </is>
      </c>
    </row>
    <row r="5">
      <c r="A5" s="3" t="inlineStr">
        <is>
          <t>Sábado</t>
        </is>
      </c>
      <c r="B5" s="3" t="inlineStr">
        <is>
          <t>Desayuno (8am)</t>
        </is>
      </c>
      <c r="C5" s="3" t="inlineStr">
        <is>
          <t>Mangú/avena + queso + huevo (opción sin huevo · José Á.)</t>
        </is>
      </c>
      <c r="D5" s="3" t="inlineStr">
        <is>
          <t>Salami opcional</t>
        </is>
      </c>
      <c r="E5" s="3" t="inlineStr">
        <is>
          <t>Café · jugo · té</t>
        </is>
      </c>
      <c r="F5" s="3" t="inlineStr">
        <is>
          <t>Frutas (NO piña)</t>
        </is>
      </c>
    </row>
    <row r="6">
      <c r="A6" s="3" t="inlineStr">
        <is>
          <t>Sábado</t>
        </is>
      </c>
      <c r="B6" s="3" t="inlineStr">
        <is>
          <t>Refrigerio AM (10:25)</t>
        </is>
      </c>
      <c r="C6" s="3" t="inlineStr">
        <is>
          <t>Picaderas / galletas</t>
        </is>
      </c>
      <c r="D6" s="3" t="inlineStr"/>
      <c r="E6" s="3" t="inlineStr">
        <is>
          <t>Té frío · jugo</t>
        </is>
      </c>
      <c r="F6" s="3" t="inlineStr"/>
    </row>
    <row r="7">
      <c r="A7" s="3" t="inlineStr">
        <is>
          <t>Sábado</t>
        </is>
      </c>
      <c r="B7" s="3" t="inlineStr">
        <is>
          <t>Almuerzo (12pm)</t>
        </is>
      </c>
      <c r="C7" s="3" t="inlineStr">
        <is>
          <t>Pollo o res guisada (NO mariscos)</t>
        </is>
      </c>
      <c r="D7" s="3" t="inlineStr">
        <is>
          <t>Arroz + habichuelas + ensalada</t>
        </is>
      </c>
      <c r="E7" s="3" t="inlineStr">
        <is>
          <t>Refresco · agua</t>
        </is>
      </c>
      <c r="F7" s="3" t="inlineStr">
        <is>
          <t>Frutas</t>
        </is>
      </c>
    </row>
    <row r="8">
      <c r="A8" s="3" t="inlineStr">
        <is>
          <t>Sábado</t>
        </is>
      </c>
      <c r="B8" s="3" t="inlineStr">
        <is>
          <t>Refrigerio PM (4:45)</t>
        </is>
      </c>
      <c r="C8" s="3" t="inlineStr">
        <is>
          <t>Bizcocho / galletas dulces</t>
        </is>
      </c>
      <c r="D8" s="3" t="inlineStr"/>
      <c r="E8" s="3" t="inlineStr">
        <is>
          <t>Té · jugo</t>
        </is>
      </c>
      <c r="F8" s="3" t="inlineStr"/>
    </row>
    <row r="9">
      <c r="A9" s="3" t="inlineStr">
        <is>
          <t>Sábado</t>
        </is>
      </c>
      <c r="B9" s="3" t="inlineStr">
        <is>
          <t>CENA con LAVATORIO (6:30)</t>
        </is>
      </c>
      <c r="C9" s="3" t="inlineStr">
        <is>
          <t>Cena solemne (Lavatorio de pies — ¡lo lleva cocina!)</t>
        </is>
      </c>
      <c r="D9" s="3" t="inlineStr">
        <is>
          <t>Pan ácimo opcional</t>
        </is>
      </c>
      <c r="E9" s="3" t="inlineStr">
        <is>
          <t>Vino litúrgico + jugo</t>
        </is>
      </c>
      <c r="F9" s="3" t="inlineStr">
        <is>
          <t>Motivo fuerte · silencio</t>
        </is>
      </c>
    </row>
    <row r="10">
      <c r="A10" s="3" t="inlineStr">
        <is>
          <t>Sábado</t>
        </is>
      </c>
      <c r="B10" s="3" t="inlineStr">
        <is>
          <t>Refrigerio noche</t>
        </is>
      </c>
      <c r="C10" s="3" t="inlineStr">
        <is>
          <t>Chocolate caliente + galletas</t>
        </is>
      </c>
      <c r="D10" s="3" t="inlineStr"/>
      <c r="E10" s="3" t="inlineStr">
        <is>
          <t>Chocolate</t>
        </is>
      </c>
      <c r="F10" s="3" t="inlineStr">
        <is>
          <t>Después de confesiones</t>
        </is>
      </c>
    </row>
    <row r="11">
      <c r="A11" s="3" t="inlineStr">
        <is>
          <t>Domingo</t>
        </is>
      </c>
      <c r="B11" s="3" t="inlineStr">
        <is>
          <t>Desayuno (8am)</t>
        </is>
      </c>
      <c r="C11" s="3" t="inlineStr">
        <is>
          <t>Tostadas + huevo (opción sin)</t>
        </is>
      </c>
      <c r="D11" s="3" t="inlineStr">
        <is>
          <t>Jamón + queso</t>
        </is>
      </c>
      <c r="E11" s="3" t="inlineStr">
        <is>
          <t>Café · jugo</t>
        </is>
      </c>
      <c r="F11" s="3" t="inlineStr">
        <is>
          <t>Frutas</t>
        </is>
      </c>
    </row>
    <row r="12" ht="32" customHeight="1">
      <c r="A12" s="3" t="inlineStr">
        <is>
          <t>Domingo</t>
        </is>
      </c>
      <c r="B12" s="3" t="inlineStr">
        <is>
          <t>Almuerzo (1pm · clausura)</t>
        </is>
      </c>
      <c r="C12" s="3" t="inlineStr">
        <is>
          <t>Almuerzo de fiesta (carne + pollo)</t>
        </is>
      </c>
      <c r="D12" s="3" t="inlineStr">
        <is>
          <t>Arroz + habichuelas + ensalada</t>
        </is>
      </c>
      <c r="E12" s="3" t="inlineStr">
        <is>
          <t>Refresco · agua</t>
        </is>
      </c>
      <c r="F12" s="3" t="inlineStr">
        <is>
          <t>Bizcocho de celebración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2" customWidth="1" min="4" max="4"/>
    <col width="12" customWidth="1" min="5" max="5"/>
    <col width="30" customWidth="1" min="6" max="6"/>
  </cols>
  <sheetData>
    <row r="1" ht="28" customHeight="1">
      <c r="A1" s="9" t="inlineStr">
        <is>
          <t>COCINA · LISTA DE COMPRAS (canasta · precios 2026)</t>
        </is>
      </c>
    </row>
    <row r="3" ht="26" customHeight="1">
      <c r="A3" s="10" t="inlineStr">
        <is>
          <t>Cantidad</t>
        </is>
      </c>
      <c r="B3" s="10" t="inlineStr">
        <is>
          <t>Unidad</t>
        </is>
      </c>
      <c r="C3" s="10" t="inlineStr">
        <is>
          <t>Artículo</t>
        </is>
      </c>
      <c r="D3" s="10" t="inlineStr">
        <is>
          <t>P. Unit.</t>
        </is>
      </c>
      <c r="E3" s="10" t="inlineStr">
        <is>
          <t>Total</t>
        </is>
      </c>
      <c r="F3" s="10" t="inlineStr">
        <is>
          <t>Responsable / Donación</t>
        </is>
      </c>
    </row>
    <row r="4">
      <c r="A4" s="4" t="n">
        <v>180</v>
      </c>
      <c r="B4" s="3" t="inlineStr">
        <is>
          <t>Unidad</t>
        </is>
      </c>
      <c r="C4" s="3" t="inlineStr">
        <is>
          <t>Plátano verde</t>
        </is>
      </c>
      <c r="D4" s="4" t="n">
        <v>21</v>
      </c>
      <c r="E4" s="4" t="n">
        <v>3780</v>
      </c>
      <c r="F4" s="3" t="inlineStr"/>
    </row>
    <row r="5">
      <c r="A5" s="4" t="n">
        <v>50</v>
      </c>
      <c r="B5" s="3" t="inlineStr">
        <is>
          <t>Libras</t>
        </is>
      </c>
      <c r="C5" s="3" t="inlineStr">
        <is>
          <t>Pechuga de pollo (con hueso)</t>
        </is>
      </c>
      <c r="D5" s="4" t="n">
        <v>140</v>
      </c>
      <c r="E5" s="4" t="n">
        <v>7000</v>
      </c>
      <c r="F5" s="3" t="inlineStr">
        <is>
          <t>Ahorro 25% vs deshuesada</t>
        </is>
      </c>
    </row>
    <row r="6">
      <c r="A6" s="4" t="n">
        <v>45</v>
      </c>
      <c r="B6" s="3" t="inlineStr">
        <is>
          <t>Libras</t>
        </is>
      </c>
      <c r="C6" s="3" t="inlineStr">
        <is>
          <t>Fajitas de res</t>
        </is>
      </c>
      <c r="D6" s="4" t="n">
        <v>170</v>
      </c>
      <c r="E6" s="4" t="n">
        <v>7650</v>
      </c>
      <c r="F6" s="3" t="inlineStr"/>
    </row>
    <row r="7">
      <c r="A7" s="4" t="n">
        <v>64</v>
      </c>
      <c r="B7" s="3" t="inlineStr">
        <is>
          <t>Libras</t>
        </is>
      </c>
      <c r="C7" s="3" t="inlineStr">
        <is>
          <t>Papa</t>
        </is>
      </c>
      <c r="D7" s="4" t="n">
        <v>48</v>
      </c>
      <c r="E7" s="4" t="n">
        <v>3072</v>
      </c>
      <c r="F7" s="3" t="inlineStr"/>
    </row>
    <row r="8">
      <c r="A8" s="4" t="n">
        <v>8</v>
      </c>
      <c r="B8" s="3" t="inlineStr">
        <is>
          <t>Libras</t>
        </is>
      </c>
      <c r="C8" s="3" t="inlineStr">
        <is>
          <t>Cebolla roja</t>
        </is>
      </c>
      <c r="D8" s="4" t="n">
        <v>52</v>
      </c>
      <c r="E8" s="4" t="n">
        <v>416</v>
      </c>
      <c r="F8" s="3" t="inlineStr">
        <is>
          <t>OJO: en ETC86 pagaron sobreprecio</t>
        </is>
      </c>
    </row>
    <row r="9">
      <c r="A9" s="4" t="n">
        <v>7</v>
      </c>
      <c r="B9" s="3" t="inlineStr">
        <is>
          <t>Libras</t>
        </is>
      </c>
      <c r="C9" s="3" t="inlineStr">
        <is>
          <t>Ají morrón</t>
        </is>
      </c>
      <c r="D9" s="4" t="n">
        <v>85</v>
      </c>
      <c r="E9" s="4" t="n">
        <v>595</v>
      </c>
      <c r="F9" s="3" t="inlineStr"/>
    </row>
    <row r="10">
      <c r="A10" s="4" t="n">
        <v>10</v>
      </c>
      <c r="B10" s="3" t="inlineStr">
        <is>
          <t>Libras</t>
        </is>
      </c>
      <c r="C10" s="3" t="inlineStr">
        <is>
          <t>Tomate barceló</t>
        </is>
      </c>
      <c r="D10" s="4" t="n">
        <v>46</v>
      </c>
      <c r="E10" s="4" t="n">
        <v>460</v>
      </c>
      <c r="F10" s="3" t="inlineStr"/>
    </row>
    <row r="11">
      <c r="A11" s="4" t="n">
        <v>6</v>
      </c>
      <c r="B11" s="3" t="inlineStr">
        <is>
          <t>Libras</t>
        </is>
      </c>
      <c r="C11" s="3" t="inlineStr">
        <is>
          <t>Chuleta ahumada</t>
        </is>
      </c>
      <c r="D11" s="4" t="n">
        <v>147</v>
      </c>
      <c r="E11" s="4" t="n">
        <v>882</v>
      </c>
      <c r="F11" s="3" t="inlineStr"/>
    </row>
    <row r="12">
      <c r="A12" s="4" t="n">
        <v>3</v>
      </c>
      <c r="B12" s="3" t="inlineStr">
        <is>
          <t>Barras</t>
        </is>
      </c>
      <c r="C12" s="3" t="inlineStr">
        <is>
          <t>Salami</t>
        </is>
      </c>
      <c r="D12" s="4" t="n">
        <v>430</v>
      </c>
      <c r="E12" s="4" t="n">
        <v>1290</v>
      </c>
      <c r="F12" s="3" t="inlineStr"/>
    </row>
    <row r="13">
      <c r="A13" s="4" t="n">
        <v>6</v>
      </c>
      <c r="B13" s="3" t="inlineStr">
        <is>
          <t>Cartón 30</t>
        </is>
      </c>
      <c r="C13" s="3" t="inlineStr">
        <is>
          <t>Huevos</t>
        </is>
      </c>
      <c r="D13" s="4" t="n">
        <v>250</v>
      </c>
      <c r="E13" s="4" t="n">
        <v>1500</v>
      </c>
      <c r="F13" s="3" t="inlineStr"/>
    </row>
    <row r="14">
      <c r="A14" s="4" t="n">
        <v>6</v>
      </c>
      <c r="B14" s="3" t="inlineStr">
        <is>
          <t>Libras</t>
        </is>
      </c>
      <c r="C14" s="3" t="inlineStr">
        <is>
          <t>Jamón cocido lonjeado</t>
        </is>
      </c>
      <c r="D14" s="4" t="n">
        <v>250</v>
      </c>
      <c r="E14" s="4" t="n">
        <v>1500</v>
      </c>
      <c r="F14" s="3" t="inlineStr"/>
    </row>
    <row r="15">
      <c r="A15" s="4" t="n">
        <v>5</v>
      </c>
      <c r="B15" s="3" t="inlineStr">
        <is>
          <t>Libras</t>
        </is>
      </c>
      <c r="C15" s="3" t="inlineStr">
        <is>
          <t>Queso amarillo lonjeado</t>
        </is>
      </c>
      <c r="D15" s="4" t="n">
        <v>260</v>
      </c>
      <c r="E15" s="4" t="n">
        <v>1300</v>
      </c>
      <c r="F15" s="3" t="inlineStr"/>
    </row>
    <row r="16">
      <c r="A16" s="4" t="n">
        <v>15</v>
      </c>
      <c r="B16" s="3" t="inlineStr">
        <is>
          <t>Libras</t>
        </is>
      </c>
      <c r="C16" s="3" t="inlineStr">
        <is>
          <t>Pasta espagueti</t>
        </is>
      </c>
      <c r="D16" s="4" t="n">
        <v>38</v>
      </c>
      <c r="E16" s="4" t="n">
        <v>570</v>
      </c>
      <c r="F16" s="3" t="inlineStr"/>
    </row>
    <row r="17">
      <c r="A17" s="4" t="n">
        <v>8</v>
      </c>
      <c r="B17" s="3" t="inlineStr">
        <is>
          <t>Libras</t>
        </is>
      </c>
      <c r="C17" s="3" t="inlineStr">
        <is>
          <t>Espirales</t>
        </is>
      </c>
      <c r="D17" s="4" t="n">
        <v>39</v>
      </c>
      <c r="E17" s="4" t="n">
        <v>312</v>
      </c>
      <c r="F17" s="3" t="inlineStr"/>
    </row>
    <row r="18">
      <c r="A18" s="4" t="n">
        <v>5</v>
      </c>
      <c r="B18" s="3" t="inlineStr">
        <is>
          <t>Cajas 12L</t>
        </is>
      </c>
      <c r="C18" s="3" t="inlineStr">
        <is>
          <t>Leche entera</t>
        </is>
      </c>
      <c r="D18" s="4" t="n">
        <v>888</v>
      </c>
      <c r="E18" s="4" t="n">
        <v>4440</v>
      </c>
      <c r="F18" s="3" t="inlineStr"/>
    </row>
    <row r="19">
      <c r="A19" s="4" t="n">
        <v>15</v>
      </c>
      <c r="B19" s="3" t="inlineStr">
        <is>
          <t>Latas</t>
        </is>
      </c>
      <c r="C19" s="3" t="inlineStr">
        <is>
          <t>Leche evaporada</t>
        </is>
      </c>
      <c r="D19" s="4" t="n">
        <v>72</v>
      </c>
      <c r="E19" s="4" t="n">
        <v>1080</v>
      </c>
      <c r="F19" s="3" t="inlineStr"/>
    </row>
    <row r="20">
      <c r="A20" s="4" t="n">
        <v>8</v>
      </c>
      <c r="B20" s="3" t="inlineStr">
        <is>
          <t>Paquetes</t>
        </is>
      </c>
      <c r="C20" s="3" t="inlineStr">
        <is>
          <t>Café Santo Domingo 1lb</t>
        </is>
      </c>
      <c r="D20" s="4" t="n">
        <v>410</v>
      </c>
      <c r="E20" s="4" t="n">
        <v>3280</v>
      </c>
      <c r="F20" s="3" t="inlineStr">
        <is>
          <t>Subió 20% · buscar donación</t>
        </is>
      </c>
    </row>
    <row r="21">
      <c r="A21" s="4" t="n">
        <v>4</v>
      </c>
      <c r="B21" s="3" t="inlineStr">
        <is>
          <t>Paquetes 5lb</t>
        </is>
      </c>
      <c r="C21" s="3" t="inlineStr">
        <is>
          <t>Azúcar (crema)</t>
        </is>
      </c>
      <c r="D21" s="4" t="n">
        <v>156</v>
      </c>
      <c r="E21" s="4" t="n">
        <v>624</v>
      </c>
      <c r="F21" s="3" t="inlineStr"/>
    </row>
    <row r="22">
      <c r="A22" s="4" t="n">
        <v>1</v>
      </c>
      <c r="B22" s="3" t="inlineStr">
        <is>
          <t>Galón</t>
        </is>
      </c>
      <c r="C22" s="3" t="inlineStr">
        <is>
          <t>Mayonesa Baldom</t>
        </is>
      </c>
      <c r="D22" s="4" t="n">
        <v>550</v>
      </c>
      <c r="E22" s="4" t="n">
        <v>550</v>
      </c>
      <c r="F22" s="3" t="inlineStr">
        <is>
          <t>Vs $950 ETC86 — ahorro $400</t>
        </is>
      </c>
    </row>
    <row r="23">
      <c r="A23" s="4" t="n">
        <v>1</v>
      </c>
      <c r="B23" s="3" t="inlineStr">
        <is>
          <t>Galón</t>
        </is>
      </c>
      <c r="C23" s="3" t="inlineStr">
        <is>
          <t>Aceite freír (MERCADOM)</t>
        </is>
      </c>
      <c r="D23" s="4" t="n">
        <v>615</v>
      </c>
      <c r="E23" s="4" t="n">
        <v>615</v>
      </c>
      <c r="F23" s="3" t="inlineStr">
        <is>
          <t>Mayorista</t>
        </is>
      </c>
    </row>
    <row r="24">
      <c r="A24" s="4" t="n">
        <v>20</v>
      </c>
      <c r="B24" s="3" t="inlineStr">
        <is>
          <t>Libras</t>
        </is>
      </c>
      <c r="C24" s="3" t="inlineStr">
        <is>
          <t>Harina de trigo</t>
        </is>
      </c>
      <c r="D24" s="4" t="n">
        <v>42</v>
      </c>
      <c r="E24" s="4" t="n">
        <v>840</v>
      </c>
      <c r="F24" s="3" t="inlineStr"/>
    </row>
    <row r="25">
      <c r="A25" s="4" t="n">
        <v>15</v>
      </c>
      <c r="B25" s="3" t="inlineStr">
        <is>
          <t>Paq 12</t>
        </is>
      </c>
      <c r="C25" s="3" t="inlineStr">
        <is>
          <t>Galletas Guarina salada</t>
        </is>
      </c>
      <c r="D25" s="4" t="n">
        <v>55</v>
      </c>
      <c r="E25" s="4" t="n">
        <v>825</v>
      </c>
      <c r="F25" s="3" t="inlineStr"/>
    </row>
    <row r="26">
      <c r="A26" s="4" t="n">
        <v>15</v>
      </c>
      <c r="B26" s="3" t="inlineStr">
        <is>
          <t>Paq 12</t>
        </is>
      </c>
      <c r="C26" s="3" t="inlineStr">
        <is>
          <t>Galletas Guarina dulce</t>
        </is>
      </c>
      <c r="D26" s="4" t="n">
        <v>115</v>
      </c>
      <c r="E26" s="4" t="n">
        <v>1725</v>
      </c>
      <c r="F26" s="3" t="inlineStr"/>
    </row>
    <row r="27">
      <c r="A27" s="4" t="n">
        <v>14</v>
      </c>
      <c r="B27" s="3" t="inlineStr">
        <is>
          <t>Unidades</t>
        </is>
      </c>
      <c r="C27" s="3" t="inlineStr">
        <is>
          <t>Refrescos 2L</t>
        </is>
      </c>
      <c r="D27" s="4" t="n">
        <v>85</v>
      </c>
      <c r="E27" s="4" t="n">
        <v>1190</v>
      </c>
      <c r="F27" s="3" t="inlineStr"/>
    </row>
    <row r="28">
      <c r="A28" s="4" t="n">
        <v>2</v>
      </c>
      <c r="B28" s="3" t="inlineStr">
        <is>
          <t>Faldos 24</t>
        </is>
      </c>
      <c r="C28" s="3" t="inlineStr">
        <is>
          <t>Papel de baño</t>
        </is>
      </c>
      <c r="D28" s="4" t="n">
        <v>475</v>
      </c>
      <c r="E28" s="4" t="n">
        <v>950</v>
      </c>
      <c r="F28" s="3" t="inlineStr"/>
    </row>
    <row r="29">
      <c r="A29" s="4" t="n">
        <v>30</v>
      </c>
      <c r="B29" s="3" t="inlineStr">
        <is>
          <t>Libras</t>
        </is>
      </c>
      <c r="C29" s="3" t="inlineStr">
        <is>
          <t>Arroz</t>
        </is>
      </c>
      <c r="D29" s="4" t="n">
        <v>38</v>
      </c>
      <c r="E29" s="4" t="n">
        <v>1140</v>
      </c>
      <c r="F29" s="3" t="inlineStr">
        <is>
          <t>¿Donación? Padre Paul en 79</t>
        </is>
      </c>
    </row>
    <row r="30">
      <c r="A30" s="4" t="n">
        <v>15</v>
      </c>
      <c r="B30" s="3" t="inlineStr">
        <is>
          <t>Libras</t>
        </is>
      </c>
      <c r="C30" s="3" t="inlineStr">
        <is>
          <t>Habichuelas pintas</t>
        </is>
      </c>
      <c r="D30" s="4" t="n">
        <v>52</v>
      </c>
      <c r="E30" s="4" t="n">
        <v>780</v>
      </c>
      <c r="F30" s="3" t="inlineStr">
        <is>
          <t>¿Donación?</t>
        </is>
      </c>
    </row>
    <row r="31">
      <c r="A31" s="4" t="n">
        <v>3</v>
      </c>
      <c r="B31" s="3" t="inlineStr">
        <is>
          <t>Potes</t>
        </is>
      </c>
      <c r="C31" s="3" t="inlineStr">
        <is>
          <t>Salsa Prego roja</t>
        </is>
      </c>
      <c r="D31" s="4" t="n">
        <v>250</v>
      </c>
      <c r="E31" s="4" t="n">
        <v>750</v>
      </c>
      <c r="F31" s="3" t="inlineStr"/>
    </row>
    <row r="32">
      <c r="A32" s="4" t="n">
        <v>40</v>
      </c>
      <c r="B32" s="3" t="inlineStr">
        <is>
          <t>Unidades</t>
        </is>
      </c>
      <c r="C32" s="3" t="inlineStr">
        <is>
          <t>Pan baguette</t>
        </is>
      </c>
      <c r="D32" s="4" t="n">
        <v>50</v>
      </c>
      <c r="E32" s="4" t="n">
        <v>2000</v>
      </c>
      <c r="F32" s="3" t="inlineStr">
        <is>
          <t>Negociar con panadería local</t>
        </is>
      </c>
    </row>
    <row r="33">
      <c r="A33" s="4" t="n">
        <v>4</v>
      </c>
      <c r="B33" s="3" t="inlineStr">
        <is>
          <t>Fundas</t>
        </is>
      </c>
      <c r="C33" s="3" t="inlineStr">
        <is>
          <t>Pan rebanado Lumijor</t>
        </is>
      </c>
      <c r="D33" s="4" t="n">
        <v>120</v>
      </c>
      <c r="E33" s="4" t="n">
        <v>480</v>
      </c>
      <c r="F33" s="3" t="inlineStr">
        <is>
          <t>Vs $195 marca premium — ahorro $280</t>
        </is>
      </c>
    </row>
    <row r="34">
      <c r="A34" s="3" t="n"/>
      <c r="B34" s="3" t="inlineStr"/>
      <c r="C34" s="3" t="inlineStr">
        <is>
          <t>OTROS (sazón, sal, vinagre, especias, frutas, picaderas)</t>
        </is>
      </c>
      <c r="D34" s="3" t="n"/>
      <c r="E34" s="4" t="n">
        <v>18500</v>
      </c>
      <c r="F34" s="3" t="inlineStr">
        <is>
          <t>Detallar con coords</t>
        </is>
      </c>
    </row>
    <row r="36">
      <c r="A36" s="5" t="inlineStr"/>
      <c r="B36" s="5" t="inlineStr"/>
      <c r="C36" s="5" t="inlineStr">
        <is>
          <t>TOTAL CANASTA ESTIMADA</t>
        </is>
      </c>
      <c r="D36" s="5" t="n"/>
      <c r="E36" s="6" t="n">
        <v>70096</v>
      </c>
      <c r="F36" s="5" t="inlineStr">
        <is>
          <t>Validar con Paloma + Jhonnito en F1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6" customWidth="1" min="3" max="3"/>
    <col width="12" customWidth="1" min="4" max="4"/>
    <col width="12" customWidth="1" min="5" max="5"/>
    <col width="38" customWidth="1" min="6" max="6"/>
  </cols>
  <sheetData>
    <row r="1" ht="28" customHeight="1">
      <c r="A1" s="11" t="inlineStr">
        <is>
          <t>MATERIALES Y LITÚRGICO (itemizado)</t>
        </is>
      </c>
    </row>
    <row r="3" ht="26" customHeight="1">
      <c r="A3" s="12" t="inlineStr">
        <is>
          <t>Cantidad</t>
        </is>
      </c>
      <c r="B3" s="12" t="inlineStr">
        <is>
          <t>Unidad</t>
        </is>
      </c>
      <c r="C3" s="12" t="inlineStr">
        <is>
          <t>Artículo</t>
        </is>
      </c>
      <c r="D3" s="12" t="inlineStr">
        <is>
          <t>P. Unit.</t>
        </is>
      </c>
      <c r="E3" s="12" t="inlineStr">
        <is>
          <t>Total</t>
        </is>
      </c>
      <c r="F3" s="12" t="inlineStr">
        <is>
          <t>Notas / Momento</t>
        </is>
      </c>
    </row>
    <row r="4">
      <c r="A4" s="4" t="n">
        <v>48</v>
      </c>
      <c r="B4" s="3" t="inlineStr">
        <is>
          <t>Uds</t>
        </is>
      </c>
      <c r="C4" s="3" t="inlineStr">
        <is>
          <t>Peces (entrega Eucaristía clausura)</t>
        </is>
      </c>
      <c r="D4" s="4" t="n">
        <v>715</v>
      </c>
      <c r="E4" s="4" t="n">
        <v>34320</v>
      </c>
      <c r="F4" s="3" t="inlineStr">
        <is>
          <t>Costo más alto del bloque</t>
        </is>
      </c>
    </row>
    <row r="5">
      <c r="A5" s="4" t="n">
        <v>48</v>
      </c>
      <c r="B5" s="3" t="inlineStr">
        <is>
          <t>Uds</t>
        </is>
      </c>
      <c r="C5" s="3" t="inlineStr">
        <is>
          <t>Biblias</t>
        </is>
      </c>
      <c r="D5" s="4" t="n">
        <v>500</v>
      </c>
      <c r="E5" s="4" t="n">
        <v>24000</v>
      </c>
      <c r="F5" s="3" t="inlineStr">
        <is>
          <t>Cotizar local Higüey · SDQLee · Cuesta</t>
        </is>
      </c>
    </row>
    <row r="6">
      <c r="A6" s="4" t="n">
        <v>4</v>
      </c>
      <c r="B6" s="3" t="inlineStr">
        <is>
          <t>Uds</t>
        </is>
      </c>
      <c r="C6" s="3" t="inlineStr">
        <is>
          <t>Ofrenda a sacerdotes confesores</t>
        </is>
      </c>
      <c r="D6" s="4" t="n">
        <v>2000</v>
      </c>
      <c r="E6" s="4" t="n">
        <v>8000</v>
      </c>
      <c r="F6" s="3" t="inlineStr">
        <is>
          <t>Sábado 9pm</t>
        </is>
      </c>
    </row>
    <row r="7">
      <c r="A7" s="4" t="n">
        <v>1</v>
      </c>
      <c r="B7" s="3" t="inlineStr"/>
      <c r="C7" s="3" t="inlineStr">
        <is>
          <t xml:space="preserve"> BANDERÍN (tela, asta, deco)</t>
        </is>
      </c>
      <c r="D7" s="4" t="n">
        <v>5000</v>
      </c>
      <c r="E7" s="4" t="n">
        <v>5000</v>
      </c>
      <c r="F7" s="3" t="inlineStr">
        <is>
          <t>NUEVO · sábado noche · diseño con la temática</t>
        </is>
      </c>
    </row>
    <row r="8">
      <c r="A8" s="4" t="n">
        <v>2</v>
      </c>
      <c r="B8" s="3" t="inlineStr">
        <is>
          <t>Gl</t>
        </is>
      </c>
      <c r="C8" s="3" t="inlineStr">
        <is>
          <t>Vino litúrgico</t>
        </is>
      </c>
      <c r="D8" s="4" t="n">
        <v>1200</v>
      </c>
      <c r="E8" s="4" t="n">
        <v>2400</v>
      </c>
      <c r="F8" s="3" t="inlineStr">
        <is>
          <t>Misa clausura · ¿donación parroquia?</t>
        </is>
      </c>
    </row>
    <row r="9">
      <c r="A9" s="4" t="n">
        <v>1</v>
      </c>
      <c r="B9" s="3" t="inlineStr">
        <is>
          <t>Fda</t>
        </is>
      </c>
      <c r="C9" s="3" t="inlineStr">
        <is>
          <t>Formas grandes (hostias)</t>
        </is>
      </c>
      <c r="D9" s="4" t="n">
        <v>400</v>
      </c>
      <c r="E9" s="4" t="n">
        <v>400</v>
      </c>
      <c r="F9" s="3" t="inlineStr"/>
    </row>
    <row r="10">
      <c r="A10" s="4" t="n">
        <v>1</v>
      </c>
      <c r="B10" s="3" t="inlineStr">
        <is>
          <t>Fda</t>
        </is>
      </c>
      <c r="C10" s="3" t="inlineStr">
        <is>
          <t>Formas pequeñas</t>
        </is>
      </c>
      <c r="D10" s="4" t="n">
        <v>500</v>
      </c>
      <c r="E10" s="4" t="n">
        <v>500</v>
      </c>
      <c r="F10" s="3" t="inlineStr"/>
    </row>
    <row r="11">
      <c r="A11" s="4" t="n">
        <v>2</v>
      </c>
      <c r="B11" s="3" t="inlineStr">
        <is>
          <t>Packs</t>
        </is>
      </c>
      <c r="C11" s="3" t="inlineStr">
        <is>
          <t>Cofre de palancas (48 pcs)</t>
        </is>
      </c>
      <c r="D11" s="4" t="n">
        <v>935</v>
      </c>
      <c r="E11" s="4" t="n">
        <v>1870</v>
      </c>
      <c r="F11" s="3" t="inlineStr"/>
    </row>
    <row r="12">
      <c r="A12" s="4" t="n">
        <v>48</v>
      </c>
      <c r="B12" s="3" t="inlineStr">
        <is>
          <t>Uds</t>
        </is>
      </c>
      <c r="C12" s="3" t="inlineStr">
        <is>
          <t>Monedas de chocolate (palancas)</t>
        </is>
      </c>
      <c r="D12" s="4" t="n">
        <v>15</v>
      </c>
      <c r="E12" s="4" t="n">
        <v>720</v>
      </c>
      <c r="F12" s="3" t="inlineStr"/>
    </row>
    <row r="13">
      <c r="A13" s="4" t="n">
        <v>1</v>
      </c>
      <c r="B13" s="3" t="inlineStr">
        <is>
          <t>Pack 48</t>
        </is>
      </c>
      <c r="C13" s="3" t="inlineStr">
        <is>
          <t>Porta-ID / Carnets</t>
        </is>
      </c>
      <c r="D13" s="4" t="n">
        <v>1100</v>
      </c>
      <c r="E13" s="4" t="n">
        <v>1100</v>
      </c>
      <c r="F13" s="3" t="inlineStr">
        <is>
          <t>Viernes</t>
        </is>
      </c>
    </row>
    <row r="14">
      <c r="A14" s="4" t="n">
        <v>48</v>
      </c>
      <c r="B14" s="3" t="inlineStr">
        <is>
          <t>Hojas</t>
        </is>
      </c>
      <c r="C14" s="3" t="inlineStr">
        <is>
          <t>Impresión ID satinado</t>
        </is>
      </c>
      <c r="D14" s="4" t="n">
        <v>40</v>
      </c>
      <c r="E14" s="4" t="n">
        <v>1920</v>
      </c>
      <c r="F14" s="3" t="inlineStr"/>
    </row>
    <row r="15">
      <c r="A15" s="4" t="n">
        <v>48</v>
      </c>
      <c r="B15" s="3" t="inlineStr">
        <is>
          <t>Uds</t>
        </is>
      </c>
      <c r="C15" s="3" t="inlineStr">
        <is>
          <t>ROSARIOS (oración a María sábado)</t>
        </is>
      </c>
      <c r="D15" s="4" t="n">
        <v>50</v>
      </c>
      <c r="E15" s="4" t="n">
        <v>2400</v>
      </c>
      <c r="F15" s="3" t="inlineStr">
        <is>
          <t>¿Donación parroquia?</t>
        </is>
      </c>
    </row>
    <row r="16">
      <c r="A16" s="4" t="n">
        <v>1</v>
      </c>
      <c r="B16" s="3" t="inlineStr"/>
      <c r="C16" s="3" t="inlineStr">
        <is>
          <t>Palangana + toallas (Lavatorio sábado)</t>
        </is>
      </c>
      <c r="D16" s="4" t="n">
        <v>1500</v>
      </c>
      <c r="E16" s="4" t="n">
        <v>1500</v>
      </c>
      <c r="F16" s="3" t="inlineStr">
        <is>
          <t>Cocina lo lleva</t>
        </is>
      </c>
    </row>
    <row r="17">
      <c r="A17" s="4" t="n">
        <v>1</v>
      </c>
      <c r="B17" s="3" t="inlineStr"/>
      <c r="C17" s="3" t="inlineStr">
        <is>
          <t>Lodo / arcilla (dinámica del pecado)</t>
        </is>
      </c>
      <c r="D17" s="4" t="n">
        <v>500</v>
      </c>
      <c r="E17" s="4" t="n">
        <v>500</v>
      </c>
      <c r="F17" s="3" t="inlineStr">
        <is>
          <t>Sábado noche</t>
        </is>
      </c>
    </row>
    <row r="18">
      <c r="A18" s="4" t="n">
        <v>6</v>
      </c>
      <c r="B18" s="3" t="inlineStr">
        <is>
          <t>Uds</t>
        </is>
      </c>
      <c r="C18" s="3" t="inlineStr">
        <is>
          <t>Impresión horario 24×36</t>
        </is>
      </c>
      <c r="D18" s="4" t="n">
        <v>200</v>
      </c>
      <c r="E18" s="4" t="n">
        <v>1200</v>
      </c>
      <c r="F18" s="3" t="inlineStr"/>
    </row>
    <row r="19">
      <c r="A19" s="4" t="n">
        <v>2</v>
      </c>
      <c r="B19" s="3" t="inlineStr">
        <is>
          <t>Resmas</t>
        </is>
      </c>
      <c r="C19" s="3" t="inlineStr">
        <is>
          <t>Papel 8.5×11</t>
        </is>
      </c>
      <c r="D19" s="4" t="n">
        <v>425</v>
      </c>
      <c r="E19" s="4" t="n">
        <v>850</v>
      </c>
      <c r="F19" s="3" t="inlineStr"/>
    </row>
    <row r="20">
      <c r="A20" s="4" t="n">
        <v>15</v>
      </c>
      <c r="B20" s="3" t="inlineStr">
        <is>
          <t>Yd</t>
        </is>
      </c>
      <c r="C20" s="3" t="inlineStr">
        <is>
          <t>Papelógrafo</t>
        </is>
      </c>
      <c r="D20" s="4" t="n">
        <v>20</v>
      </c>
      <c r="E20" s="4" t="n">
        <v>300</v>
      </c>
      <c r="F20" s="3" t="inlineStr"/>
    </row>
    <row r="21">
      <c r="A21" s="4" t="n">
        <v>1</v>
      </c>
      <c r="B21" s="3" t="inlineStr">
        <is>
          <t>Rollo</t>
        </is>
      </c>
      <c r="C21" s="3" t="inlineStr">
        <is>
          <t>Alambre cobre/dulce (70ft)</t>
        </is>
      </c>
      <c r="D21" s="4" t="n">
        <v>120</v>
      </c>
      <c r="E21" s="4" t="n">
        <v>120</v>
      </c>
      <c r="F21" s="3" t="inlineStr">
        <is>
          <t>Dinámica del alambre sábado AM</t>
        </is>
      </c>
    </row>
    <row r="22">
      <c r="A22" s="4" t="n">
        <v>50</v>
      </c>
      <c r="B22" s="3" t="inlineStr">
        <is>
          <t>Uds</t>
        </is>
      </c>
      <c r="C22" s="3" t="inlineStr">
        <is>
          <t>Sobres blancos (palancas)</t>
        </is>
      </c>
      <c r="D22" s="4" t="n">
        <v>5</v>
      </c>
      <c r="E22" s="4" t="n">
        <v>250</v>
      </c>
      <c r="F22" s="3" t="inlineStr"/>
    </row>
    <row r="23">
      <c r="A23" s="4" t="n">
        <v>7</v>
      </c>
      <c r="B23" s="3" t="inlineStr">
        <is>
          <t>Uds</t>
        </is>
      </c>
      <c r="C23" s="3" t="inlineStr">
        <is>
          <t>Cartulinas grandes</t>
        </is>
      </c>
      <c r="D23" s="4" t="n">
        <v>15</v>
      </c>
      <c r="E23" s="4" t="n">
        <v>105</v>
      </c>
      <c r="F23" s="3" t="inlineStr"/>
    </row>
    <row r="24">
      <c r="A24" s="4" t="n">
        <v>4</v>
      </c>
      <c r="B24" s="3" t="inlineStr">
        <is>
          <t>Cajas</t>
        </is>
      </c>
      <c r="C24" s="3" t="inlineStr">
        <is>
          <t>Lapiceros (12 uds)</t>
        </is>
      </c>
      <c r="D24" s="4" t="n">
        <v>100</v>
      </c>
      <c r="E24" s="4" t="n">
        <v>400</v>
      </c>
      <c r="F24" s="3" t="inlineStr"/>
    </row>
    <row r="25">
      <c r="A25" s="4" t="n">
        <v>2</v>
      </c>
      <c r="B25" s="3" t="inlineStr">
        <is>
          <t>Uds</t>
        </is>
      </c>
      <c r="C25" s="3" t="inlineStr">
        <is>
          <t>Marcadores negro</t>
        </is>
      </c>
      <c r="D25" s="4" t="n">
        <v>40</v>
      </c>
      <c r="E25" s="4" t="n">
        <v>80</v>
      </c>
      <c r="F25" s="3" t="inlineStr"/>
    </row>
    <row r="26">
      <c r="A26" s="4" t="n">
        <v>2</v>
      </c>
      <c r="B26" s="3" t="inlineStr">
        <is>
          <t>Uds</t>
        </is>
      </c>
      <c r="C26" s="3" t="inlineStr">
        <is>
          <t>Marcadores verdes</t>
        </is>
      </c>
      <c r="D26" s="4" t="n">
        <v>40</v>
      </c>
      <c r="E26" s="4" t="n">
        <v>80</v>
      </c>
      <c r="F26" s="3" t="inlineStr"/>
    </row>
    <row r="27">
      <c r="A27" s="4" t="n">
        <v>2</v>
      </c>
      <c r="B27" s="3" t="inlineStr">
        <is>
          <t>Uds</t>
        </is>
      </c>
      <c r="C27" s="3" t="inlineStr">
        <is>
          <t>Marcadores rojo</t>
        </is>
      </c>
      <c r="D27" s="4" t="n">
        <v>40</v>
      </c>
      <c r="E27" s="4" t="n">
        <v>80</v>
      </c>
      <c r="F27" s="3" t="inlineStr"/>
    </row>
    <row r="28">
      <c r="A28" s="4" t="n">
        <v>7</v>
      </c>
      <c r="B28" s="3" t="inlineStr">
        <is>
          <t>Cajas</t>
        </is>
      </c>
      <c r="C28" s="3" t="inlineStr">
        <is>
          <t>Crayones (24 uds)</t>
        </is>
      </c>
      <c r="D28" s="4" t="n">
        <v>195</v>
      </c>
      <c r="E28" s="4" t="n">
        <v>1365</v>
      </c>
      <c r="F28" s="3" t="inlineStr"/>
    </row>
    <row r="29">
      <c r="A29" s="4" t="n">
        <v>2</v>
      </c>
      <c r="B29" s="3" t="inlineStr">
        <is>
          <t>Uds</t>
        </is>
      </c>
      <c r="C29" s="3" t="inlineStr">
        <is>
          <t>Tape</t>
        </is>
      </c>
      <c r="D29" s="4" t="n">
        <v>120</v>
      </c>
      <c r="E29" s="4" t="n">
        <v>240</v>
      </c>
      <c r="F29" s="3" t="inlineStr"/>
    </row>
    <row r="31">
      <c r="A31" s="5" t="inlineStr"/>
      <c r="B31" s="5" t="inlineStr"/>
      <c r="C31" s="5" t="inlineStr">
        <is>
          <t>TOTAL MATERIALES Y LITÚRGICO</t>
        </is>
      </c>
      <c r="D31" s="5" t="n"/>
      <c r="E31" s="6" t="n">
        <v>89700</v>
      </c>
      <c r="F31" s="5" t="inlineStr">
        <is>
          <t>Validar con Resp. Materiales en F1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12" customWidth="1" min="4" max="4"/>
    <col width="12" customWidth="1" min="5" max="5"/>
    <col width="36" customWidth="1" min="6" max="6"/>
  </cols>
  <sheetData>
    <row r="1" ht="28" customHeight="1">
      <c r="A1" s="1" t="inlineStr">
        <is>
          <t>GUÍAS · Materiales del PG (libretas, color-coded)</t>
        </is>
      </c>
    </row>
    <row r="3" ht="26" customHeight="1">
      <c r="A3" s="2" t="inlineStr">
        <is>
          <t>Cantidad</t>
        </is>
      </c>
      <c r="B3" s="2" t="inlineStr">
        <is>
          <t>Unidad</t>
        </is>
      </c>
      <c r="C3" s="2" t="inlineStr">
        <is>
          <t>Artículo</t>
        </is>
      </c>
      <c r="D3" s="2" t="inlineStr">
        <is>
          <t>P. Unit.</t>
        </is>
      </c>
      <c r="E3" s="2" t="inlineStr">
        <is>
          <t>Total</t>
        </is>
      </c>
      <c r="F3" s="2" t="inlineStr">
        <is>
          <t>Notas</t>
        </is>
      </c>
    </row>
    <row r="4">
      <c r="A4" s="4" t="n">
        <v>48</v>
      </c>
      <c r="B4" s="3" t="inlineStr">
        <is>
          <t>Uds</t>
        </is>
      </c>
      <c r="C4" s="3" t="inlineStr">
        <is>
          <t>Libretas / cuadernos para participantes</t>
        </is>
      </c>
      <c r="D4" s="4" t="n">
        <v>60</v>
      </c>
      <c r="E4" s="4" t="n">
        <v>2880</v>
      </c>
      <c r="F4" s="3" t="inlineStr">
        <is>
          <t>EN PRESUPUESTO DE GUÍAS · cada PG</t>
        </is>
      </c>
    </row>
    <row r="5">
      <c r="A5" s="4" t="n">
        <v>7</v>
      </c>
      <c r="B5" s="3" t="inlineStr">
        <is>
          <t>Sets</t>
        </is>
      </c>
      <c r="C5" s="3" t="inlineStr">
        <is>
          <t>Tarjetas de color por pareja (color-coded)</t>
        </is>
      </c>
      <c r="D5" s="4" t="n">
        <v>150</v>
      </c>
      <c r="E5" s="4" t="n">
        <v>1050</v>
      </c>
      <c r="F5" s="3" t="inlineStr">
        <is>
          <t>Identifica cada PG</t>
        </is>
      </c>
    </row>
    <row r="6">
      <c r="A6" s="4" t="n">
        <v>48</v>
      </c>
      <c r="B6" s="3" t="inlineStr">
        <is>
          <t>Hojas</t>
        </is>
      </c>
      <c r="C6" s="3" t="inlineStr">
        <is>
          <t>Hoja de datos personales (template)</t>
        </is>
      </c>
      <c r="D6" s="4" t="n">
        <v>5</v>
      </c>
      <c r="E6" s="4" t="n">
        <v>240</v>
      </c>
      <c r="F6" s="3" t="inlineStr"/>
    </row>
    <row r="7">
      <c r="A7" s="4" t="n">
        <v>1</v>
      </c>
      <c r="B7" s="3" t="inlineStr"/>
      <c r="C7" s="3" t="inlineStr">
        <is>
          <t>Materiales de sociodrama (vestuario simple)</t>
        </is>
      </c>
      <c r="D7" s="4" t="n">
        <v>2000</v>
      </c>
      <c r="E7" s="4" t="n">
        <v>2000</v>
      </c>
      <c r="F7" s="3" t="inlineStr">
        <is>
          <t>Sábado</t>
        </is>
      </c>
    </row>
    <row r="8">
      <c r="A8" s="4" t="n">
        <v>1</v>
      </c>
      <c r="B8" s="3" t="inlineStr"/>
      <c r="C8" s="3" t="inlineStr">
        <is>
          <t>Decoración de los 7 espacios de PG</t>
        </is>
      </c>
      <c r="D8" s="4" t="n">
        <v>3500</v>
      </c>
      <c r="E8" s="4" t="n">
        <v>3500</v>
      </c>
      <c r="F8" s="3" t="inlineStr">
        <is>
          <t>Cada pareja decora su rincón</t>
        </is>
      </c>
    </row>
    <row r="9">
      <c r="A9" s="4" t="n">
        <v>1</v>
      </c>
      <c r="B9" s="3" t="inlineStr"/>
      <c r="C9" s="3" t="inlineStr">
        <is>
          <t>Sobres manila grandes para palancas (×48)</t>
        </is>
      </c>
      <c r="D9" s="4" t="n">
        <v>800</v>
      </c>
      <c r="E9" s="4" t="n">
        <v>800</v>
      </c>
      <c r="F9" s="3" t="inlineStr"/>
    </row>
    <row r="10">
      <c r="A10" s="3" t="n"/>
      <c r="B10" s="3" t="inlineStr"/>
      <c r="C10" s="3" t="inlineStr">
        <is>
          <t>Imprevistos / extras del PG</t>
        </is>
      </c>
      <c r="D10" s="3" t="n"/>
      <c r="E10" s="4" t="n">
        <v>2000</v>
      </c>
      <c r="F10" s="3" t="inlineStr"/>
    </row>
    <row r="12">
      <c r="A12" s="5" t="inlineStr"/>
      <c r="B12" s="5" t="inlineStr"/>
      <c r="C12" s="5" t="inlineStr">
        <is>
          <t>TOTAL GUÍAS</t>
        </is>
      </c>
      <c r="D12" s="5" t="n"/>
      <c r="E12" s="6" t="n">
        <v>12470</v>
      </c>
      <c r="F12" s="5" t="inlineStr">
        <is>
          <t>Validar con Priscilla + Camila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2" customWidth="1" min="3" max="3"/>
    <col width="12" customWidth="1" min="4" max="4"/>
    <col width="12" customWidth="1" min="5" max="5"/>
    <col width="30" customWidth="1" min="6" max="6"/>
  </cols>
  <sheetData>
    <row r="1" ht="28" customHeight="1">
      <c r="A1" s="11" t="inlineStr">
        <is>
          <t>MÚSICA · Cancionero + respaldo (la casa tiene sonido)</t>
        </is>
      </c>
    </row>
    <row r="3" ht="26" customHeight="1">
      <c r="A3" s="12" t="inlineStr">
        <is>
          <t>Cantidad</t>
        </is>
      </c>
      <c r="B3" s="12" t="inlineStr">
        <is>
          <t>Unidad</t>
        </is>
      </c>
      <c r="C3" s="12" t="inlineStr">
        <is>
          <t>Artículo</t>
        </is>
      </c>
      <c r="D3" s="12" t="inlineStr">
        <is>
          <t>P. Unit.</t>
        </is>
      </c>
      <c r="E3" s="12" t="inlineStr">
        <is>
          <t>Total</t>
        </is>
      </c>
      <c r="F3" s="12" t="inlineStr">
        <is>
          <t>Notas</t>
        </is>
      </c>
    </row>
    <row r="4">
      <c r="A4" s="4" t="n">
        <v>95</v>
      </c>
      <c r="B4" s="3" t="inlineStr">
        <is>
          <t>Uds</t>
        </is>
      </c>
      <c r="C4" s="3" t="inlineStr">
        <is>
          <t>Impresión cancionero (3 días)</t>
        </is>
      </c>
      <c r="D4" s="4" t="n">
        <v>25</v>
      </c>
      <c r="E4" s="4" t="n">
        <v>2375</v>
      </c>
      <c r="F4" s="3" t="inlineStr">
        <is>
          <t>Equipo + participantes</t>
        </is>
      </c>
    </row>
    <row r="5">
      <c r="A5" s="4" t="n">
        <v>1</v>
      </c>
      <c r="B5" s="3" t="inlineStr"/>
      <c r="C5" s="3" t="inlineStr">
        <is>
          <t>Cables/baterías de respaldo · cuerdas</t>
        </is>
      </c>
      <c r="D5" s="4" t="n">
        <v>1500</v>
      </c>
      <c r="E5" s="4" t="n">
        <v>1500</v>
      </c>
      <c r="F5" s="3" t="inlineStr">
        <is>
          <t>La casa tiene sonido</t>
        </is>
      </c>
    </row>
    <row r="6">
      <c r="A6" s="4" t="n">
        <v>1</v>
      </c>
      <c r="B6" s="3" t="inlineStr"/>
      <c r="C6" s="3" t="inlineStr">
        <is>
          <t>Atriles / partituras imprimibles</t>
        </is>
      </c>
      <c r="D6" s="4" t="n">
        <v>600</v>
      </c>
      <c r="E6" s="4" t="n">
        <v>600</v>
      </c>
      <c r="F6" s="3" t="inlineStr"/>
    </row>
    <row r="8">
      <c r="A8" s="5" t="inlineStr"/>
      <c r="B8" s="5" t="inlineStr"/>
      <c r="C8" s="5" t="inlineStr">
        <is>
          <t>TOTAL MÚSICA</t>
        </is>
      </c>
      <c r="D8" s="5" t="n"/>
      <c r="E8" s="6" t="n">
        <v>4475</v>
      </c>
      <c r="F8" s="5" t="inlineStr">
        <is>
          <t>Validar con José Tusen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3" t="inlineStr">
        <is>
          <t>FORMACIONES (5 sesiones · jun-ago)</t>
        </is>
      </c>
    </row>
    <row r="3" ht="26" customHeight="1">
      <c r="A3" s="8" t="inlineStr">
        <is>
          <t>Sesión</t>
        </is>
      </c>
      <c r="B3" s="8" t="inlineStr">
        <is>
          <t>Fecha</t>
        </is>
      </c>
      <c r="C3" s="8" t="inlineStr">
        <is>
          <t>Refrigerio</t>
        </is>
      </c>
      <c r="D3" s="8" t="inlineStr">
        <is>
          <t>Local</t>
        </is>
      </c>
      <c r="E3" s="8" t="inlineStr">
        <is>
          <t>Materiales</t>
        </is>
      </c>
      <c r="F3" s="8" t="inlineStr">
        <is>
          <t>Total</t>
        </is>
      </c>
    </row>
    <row r="4">
      <c r="A4" s="3" t="inlineStr">
        <is>
          <t>F1 · El llamado</t>
        </is>
      </c>
      <c r="B4" s="3" t="inlineStr">
        <is>
          <t>14-jun</t>
        </is>
      </c>
      <c r="C4" s="4" t="n">
        <v>1500</v>
      </c>
      <c r="D4" s="14" t="n">
        <v>0</v>
      </c>
      <c r="E4" s="4" t="n">
        <v>1500</v>
      </c>
      <c r="F4" s="4" t="n">
        <v>3000</v>
      </c>
    </row>
    <row r="5">
      <c r="A5" s="3" t="inlineStr">
        <is>
          <t>F2 · Una sola tripulación</t>
        </is>
      </c>
      <c r="B5" s="3" t="inlineStr">
        <is>
          <t>28-jun</t>
        </is>
      </c>
      <c r="C5" s="4" t="n">
        <v>1500</v>
      </c>
      <c r="D5" s="14" t="n">
        <v>0</v>
      </c>
      <c r="E5" s="4" t="n">
        <v>800</v>
      </c>
      <c r="F5" s="4" t="n">
        <v>2300</v>
      </c>
    </row>
    <row r="6">
      <c r="A6" s="3" t="inlineStr">
        <is>
          <t>F3 · El tesoro</t>
        </is>
      </c>
      <c r="B6" s="3" t="inlineStr">
        <is>
          <t>5-jul</t>
        </is>
      </c>
      <c r="C6" s="4" t="n">
        <v>1500</v>
      </c>
      <c r="D6" s="14" t="n">
        <v>0</v>
      </c>
      <c r="E6" s="4" t="n">
        <v>800</v>
      </c>
      <c r="F6" s="4" t="n">
        <v>2300</v>
      </c>
    </row>
    <row r="7">
      <c r="A7" s="3" t="inlineStr">
        <is>
          <t>F4 · Conociendo el terreno</t>
        </is>
      </c>
      <c r="B7" s="3" t="inlineStr">
        <is>
          <t>19-jul</t>
        </is>
      </c>
      <c r="C7" s="4" t="n">
        <v>1500</v>
      </c>
      <c r="D7" s="14" t="n">
        <v>0</v>
      </c>
      <c r="E7" s="4" t="n">
        <v>1500</v>
      </c>
      <c r="F7" s="4" t="n">
        <v>3000</v>
      </c>
    </row>
    <row r="8">
      <c r="A8" s="3" t="inlineStr">
        <is>
          <t>F5 · Listos para zarpar</t>
        </is>
      </c>
      <c r="B8" s="3" t="inlineStr">
        <is>
          <t>16-ago</t>
        </is>
      </c>
      <c r="C8" s="4" t="n">
        <v>2000</v>
      </c>
      <c r="D8" s="14" t="n">
        <v>0</v>
      </c>
      <c r="E8" s="4" t="n">
        <v>2000</v>
      </c>
      <c r="F8" s="4" t="n">
        <v>4000</v>
      </c>
    </row>
    <row r="9">
      <c r="A9" s="3" t="inlineStr">
        <is>
          <t>Reunión coords (jue 4-jun virtual)</t>
        </is>
      </c>
      <c r="B9" s="3" t="inlineStr">
        <is>
          <t>4-jun</t>
        </is>
      </c>
      <c r="C9" s="14" t="n">
        <v>0</v>
      </c>
      <c r="D9" s="14" t="n">
        <v>0</v>
      </c>
      <c r="E9" s="14" t="n">
        <v>0</v>
      </c>
      <c r="F9" s="14" t="n">
        <v>0</v>
      </c>
    </row>
    <row r="10">
      <c r="A10" s="3" t="inlineStr">
        <is>
          <t>Convivencia (miniretiro · día completo)</t>
        </is>
      </c>
      <c r="B10" s="3" t="inlineStr">
        <is>
          <t>22-ago</t>
        </is>
      </c>
      <c r="C10" s="4" t="n">
        <v>6000</v>
      </c>
      <c r="D10" s="4" t="n">
        <v>2000</v>
      </c>
      <c r="E10" s="4" t="n">
        <v>4000</v>
      </c>
      <c r="F10" s="4" t="n">
        <v>12000</v>
      </c>
    </row>
    <row r="11">
      <c r="A11" s="3" t="inlineStr">
        <is>
          <t>Ensayo General (incluye almuerzo del equipo)</t>
        </is>
      </c>
      <c r="B11" s="3" t="inlineStr">
        <is>
          <t>23-ago</t>
        </is>
      </c>
      <c r="C11" s="4" t="n">
        <v>15000</v>
      </c>
      <c r="D11" s="14" t="n">
        <v>0</v>
      </c>
      <c r="E11" s="4" t="n">
        <v>1000</v>
      </c>
      <c r="F11" s="4" t="n">
        <v>16000</v>
      </c>
    </row>
    <row r="12">
      <c r="A12" s="3" t="inlineStr">
        <is>
          <t>Reunión final</t>
        </is>
      </c>
      <c r="B12" s="3" t="inlineStr">
        <is>
          <t>30-ago</t>
        </is>
      </c>
      <c r="C12" s="4" t="n">
        <v>1500</v>
      </c>
      <c r="D12" s="14" t="n">
        <v>0</v>
      </c>
      <c r="E12" s="4" t="n">
        <v>500</v>
      </c>
      <c r="F12" s="4" t="n">
        <v>2000</v>
      </c>
    </row>
    <row r="13">
      <c r="A13" s="3" t="inlineStr">
        <is>
          <t>Bienvenida post-ETC (bizcocho)</t>
        </is>
      </c>
      <c r="B13" s="3" t="inlineStr">
        <is>
          <t>9-sep</t>
        </is>
      </c>
      <c r="C13" s="4" t="n">
        <v>3000</v>
      </c>
      <c r="D13" s="14" t="n">
        <v>0</v>
      </c>
      <c r="E13" s="14" t="n">
        <v>0</v>
      </c>
      <c r="F13" s="4" t="n">
        <v>3000</v>
      </c>
    </row>
    <row r="15">
      <c r="A15" s="5" t="inlineStr">
        <is>
          <t>TOTAL FORMACIONES</t>
        </is>
      </c>
      <c r="B15" s="5" t="inlineStr"/>
      <c r="C15" s="5" t="inlineStr"/>
      <c r="D15" s="5" t="inlineStr"/>
      <c r="E15" s="5" t="inlineStr"/>
      <c r="F15" s="6" t="n">
        <v>47600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30" customWidth="1" min="5" max="5"/>
  </cols>
  <sheetData>
    <row r="1" ht="28" customHeight="1">
      <c r="A1" s="15" t="inlineStr">
        <is>
          <t>TRANSPORTE · SPM → Higüey (3 cotizaciones a pedir)</t>
        </is>
      </c>
    </row>
    <row r="3" ht="26" customHeight="1">
      <c r="A3" s="16" t="inlineStr">
        <is>
          <t>Concepto</t>
        </is>
      </c>
      <c r="B3" s="16" t="inlineStr">
        <is>
          <t>Mín.</t>
        </is>
      </c>
      <c r="C3" s="16" t="inlineStr">
        <is>
          <t>Base</t>
        </is>
      </c>
      <c r="D3" s="16" t="inlineStr">
        <is>
          <t>Máx.</t>
        </is>
      </c>
      <c r="E3" s="16" t="inlineStr">
        <is>
          <t>Empresa</t>
        </is>
      </c>
    </row>
    <row r="4">
      <c r="A4" s="3" t="inlineStr">
        <is>
          <t>Minibús equipo (15-20 pers.) IDA Y VUELTA</t>
        </is>
      </c>
      <c r="B4" s="4" t="n">
        <v>12000</v>
      </c>
      <c r="C4" s="4" t="n">
        <v>14000</v>
      </c>
      <c r="D4" s="4" t="n">
        <v>16000</v>
      </c>
      <c r="E4" s="3" t="inlineStr">
        <is>
          <t>Metro Servicios 809-530-2850</t>
        </is>
      </c>
    </row>
    <row r="5">
      <c r="A5" s="3" t="inlineStr">
        <is>
          <t>Autobús participantes (40-50) IDA Y VUELTA</t>
        </is>
      </c>
      <c r="B5" s="4" t="n">
        <v>30000</v>
      </c>
      <c r="C5" s="4" t="n">
        <v>32500</v>
      </c>
      <c r="D5" s="4" t="n">
        <v>35000</v>
      </c>
      <c r="E5" s="3" t="inlineStr">
        <is>
          <t>Transportando RD 849-803-1626</t>
        </is>
      </c>
    </row>
    <row r="6">
      <c r="A6" s="3" t="inlineStr">
        <is>
          <t>Autobús clausura (padres/etecianos) IDA Y VUELTA</t>
        </is>
      </c>
      <c r="B6" s="4" t="n">
        <v>25000</v>
      </c>
      <c r="C6" s="4" t="n">
        <v>27500</v>
      </c>
      <c r="D6" s="4" t="n">
        <v>30000</v>
      </c>
      <c r="E6" s="3" t="inlineStr">
        <is>
          <t>DominicanBus</t>
        </is>
      </c>
    </row>
    <row r="7">
      <c r="A7" s="3" t="inlineStr">
        <is>
          <t>Combustible + peajes (3 viajes)</t>
        </is>
      </c>
      <c r="B7" s="4" t="n">
        <v>2000</v>
      </c>
      <c r="C7" s="4" t="n">
        <v>3500</v>
      </c>
      <c r="D7" s="4" t="n">
        <v>5000</v>
      </c>
      <c r="E7" s="3" t="inlineStr">
        <is>
          <t>4 casetas × $60-100</t>
        </is>
      </c>
    </row>
    <row r="9">
      <c r="A9" s="5" t="inlineStr">
        <is>
          <t>TOTAL</t>
        </is>
      </c>
      <c r="B9" s="6" t="n">
        <v>69000</v>
      </c>
      <c r="C9" s="6" t="n">
        <v>77500</v>
      </c>
      <c r="D9" s="6" t="n">
        <v>86000</v>
      </c>
      <c r="E9" s="5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22" customWidth="1" min="4" max="4"/>
    <col width="36" customWidth="1" min="5" max="5"/>
  </cols>
  <sheetData>
    <row r="1" ht="28" customHeight="1">
      <c r="A1" s="9" t="inlineStr">
        <is>
          <t>RECAUDACIÓN · la META = costo total $583,281 (cuotas + rifa/comida + donaciones)</t>
        </is>
      </c>
    </row>
    <row r="3" ht="26" customHeight="1">
      <c r="A3" s="10" t="inlineStr">
        <is>
          <t>Fuente</t>
        </is>
      </c>
      <c r="B3" s="10" t="inlineStr">
        <is>
          <t>Monto (RD$)</t>
        </is>
      </c>
      <c r="C3" s="10" t="inlineStr">
        <is>
          <t>Estado</t>
        </is>
      </c>
      <c r="D3" s="10" t="inlineStr">
        <is>
          <t>Responsable</t>
        </is>
      </c>
      <c r="E3" s="10" t="inlineStr">
        <is>
          <t>Notas</t>
        </is>
      </c>
    </row>
    <row r="4">
      <c r="A4" s="3" t="inlineStr">
        <is>
          <t>Cuotas participantes (~53 × $3,000)</t>
        </is>
      </c>
      <c r="B4" s="4" t="n">
        <v>159000</v>
      </c>
      <c r="C4" s="3" t="inlineStr">
        <is>
          <t>Confirmado</t>
        </is>
      </c>
      <c r="D4" s="3" t="inlineStr">
        <is>
          <t>Cada misionero</t>
        </is>
      </c>
      <c r="E4" s="3" t="inlineStr">
        <is>
          <t>Para completar 100 en la casa</t>
        </is>
      </c>
    </row>
    <row r="5">
      <c r="A5" s="3" t="inlineStr">
        <is>
          <t>Aportes equipo (47 × $1,500–2,000)</t>
        </is>
      </c>
      <c r="B5" s="4" t="n">
        <v>82250</v>
      </c>
      <c r="C5" s="3" t="inlineStr">
        <is>
          <t>PROPUESTA</t>
        </is>
      </c>
      <c r="D5" s="3" t="inlineStr">
        <is>
          <t>Cada miembro</t>
        </is>
      </c>
      <c r="E5" s="3" t="inlineStr">
        <is>
          <t>[PROPUESTA] $500/mes · SIN CERRAR</t>
        </is>
      </c>
    </row>
    <row r="6">
      <c r="A6" s="3" t="inlineStr">
        <is>
          <t>Exención casa (vía RNC parroquia Paul)</t>
        </is>
      </c>
      <c r="B6" s="4" t="n">
        <v>30000</v>
      </c>
      <c r="C6" s="3" t="inlineStr">
        <is>
          <t>Por gestionar</t>
        </is>
      </c>
      <c r="D6" s="3" t="inlineStr">
        <is>
          <t>Co-Dir + Padre Paul</t>
        </is>
      </c>
      <c r="E6" s="3" t="inlineStr">
        <is>
          <t>Ahorro $300/persona × 100</t>
        </is>
      </c>
    </row>
    <row r="7">
      <c r="A7" s="3" t="inlineStr">
        <is>
          <t>Rifa (Profondo #1)</t>
        </is>
      </c>
      <c r="B7" s="3" t="n"/>
      <c r="C7" s="3" t="inlineStr">
        <is>
          <t>VARIABLE</t>
        </is>
      </c>
      <c r="D7" s="3" t="inlineStr">
        <is>
          <t>Co-Dir + Recaudación</t>
        </is>
      </c>
      <c r="E7" s="3" t="inlineStr">
        <is>
          <t>Primera actividad · lo que se recaude</t>
        </is>
      </c>
    </row>
    <row r="8">
      <c r="A8" s="3" t="inlineStr">
        <is>
          <t>Venta de comida (Profondo #2)</t>
        </is>
      </c>
      <c r="B8" s="3" t="n"/>
      <c r="C8" s="3" t="inlineStr">
        <is>
          <t>VARIABLE</t>
        </is>
      </c>
      <c r="D8" s="3" t="inlineStr">
        <is>
          <t>Equipo completo</t>
        </is>
      </c>
      <c r="E8" s="3" t="inlineStr">
        <is>
          <t>Lo que se recaude</t>
        </is>
      </c>
    </row>
    <row r="9">
      <c r="A9" s="3" t="inlineStr">
        <is>
          <t>Donaciones empresas/particulares</t>
        </is>
      </c>
      <c r="B9" s="3" t="n"/>
      <c r="C9" s="3" t="inlineStr">
        <is>
          <t>VARIABLE</t>
        </is>
      </c>
      <c r="D9" s="3" t="inlineStr">
        <is>
          <t>DIRECTORES (resp.)</t>
        </is>
      </c>
      <c r="E9" s="3" t="inlineStr">
        <is>
          <t>Lo que se recaude · delegable</t>
        </is>
      </c>
    </row>
    <row r="10">
      <c r="A10" s="3">
        <f> BRECHA a cubrir con rifa + comida + donaciones</f>
        <v/>
      </c>
      <c r="B10" s="4" t="n">
        <v>342031</v>
      </c>
      <c r="C10" s="3" t="inlineStr"/>
      <c r="D10" s="3" t="inlineStr"/>
      <c r="E10" s="3" t="inlineStr">
        <is>
          <t>Costo total − cuotas: esto es lo que la recaudación variable debe levantar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4" customWidth="1" min="8" max="8"/>
  </cols>
  <sheetData>
    <row r="1" ht="28" customHeight="1">
      <c r="A1" s="1" t="inlineStr">
        <is>
          <t>[PROPUESTA] APORTES DEL EQUIPO · $500/mes · total $1,500–$2,000/persona (SIN CERRAR)</t>
        </is>
      </c>
    </row>
    <row r="3" ht="26" customHeight="1">
      <c r="A3" s="2" t="inlineStr">
        <is>
          <t>Nombre</t>
        </is>
      </c>
      <c r="B3" s="2" t="inlineStr">
        <is>
          <t>Área</t>
        </is>
      </c>
      <c r="C3" s="2" t="inlineStr">
        <is>
          <t>Jun</t>
        </is>
      </c>
      <c r="D3" s="2" t="inlineStr">
        <is>
          <t>Jul</t>
        </is>
      </c>
      <c r="E3" s="2" t="inlineStr">
        <is>
          <t>Ago</t>
        </is>
      </c>
      <c r="F3" s="2" t="inlineStr">
        <is>
          <t>Sep</t>
        </is>
      </c>
      <c r="G3" s="2" t="inlineStr">
        <is>
          <t>Total</t>
        </is>
      </c>
      <c r="H3" s="2" t="inlineStr">
        <is>
          <t>Notas</t>
        </is>
      </c>
    </row>
    <row r="4">
      <c r="A4" s="3" t="inlineStr">
        <is>
          <t>Frank Morales</t>
        </is>
      </c>
      <c r="B4" s="3" t="inlineStr">
        <is>
          <t>asesores</t>
        </is>
      </c>
      <c r="C4" s="4" t="n">
        <v>500</v>
      </c>
      <c r="D4" s="4" t="n">
        <v>500</v>
      </c>
      <c r="E4" s="4" t="n">
        <v>500</v>
      </c>
      <c r="F4" s="4" t="n">
        <v>500</v>
      </c>
      <c r="G4" s="4" t="n">
        <v>2000</v>
      </c>
      <c r="H4" s="3" t="inlineStr">
        <is>
          <t>[PROPUESTA] sin cerrar</t>
        </is>
      </c>
    </row>
    <row r="5">
      <c r="A5" s="3" t="inlineStr">
        <is>
          <t>Laura Fernández</t>
        </is>
      </c>
      <c r="B5" s="3" t="inlineStr">
        <is>
          <t>asesores</t>
        </is>
      </c>
      <c r="C5" s="4" t="n">
        <v>500</v>
      </c>
      <c r="D5" s="4" t="n">
        <v>500</v>
      </c>
      <c r="E5" s="4" t="n">
        <v>500</v>
      </c>
      <c r="F5" s="4" t="n">
        <v>500</v>
      </c>
      <c r="G5" s="4" t="n">
        <v>2000</v>
      </c>
      <c r="H5" s="3" t="inlineStr">
        <is>
          <t>[PROPUESTA] sin cerrar</t>
        </is>
      </c>
    </row>
    <row r="6">
      <c r="A6" s="3" t="inlineStr">
        <is>
          <t>Tomás Lorenzo</t>
        </is>
      </c>
      <c r="B6" s="3" t="inlineStr">
        <is>
          <t>asesores</t>
        </is>
      </c>
      <c r="C6" s="4" t="n">
        <v>500</v>
      </c>
      <c r="D6" s="4" t="n">
        <v>500</v>
      </c>
      <c r="E6" s="4" t="n">
        <v>500</v>
      </c>
      <c r="F6" s="4" t="n">
        <v>500</v>
      </c>
      <c r="G6" s="4" t="n">
        <v>2000</v>
      </c>
      <c r="H6" s="3" t="inlineStr">
        <is>
          <t>[PROPUESTA] sin cerrar</t>
        </is>
      </c>
    </row>
    <row r="7">
      <c r="A7" s="3" t="inlineStr">
        <is>
          <t>Padre Paul Ramírez</t>
        </is>
      </c>
      <c r="B7" s="3" t="inlineStr">
        <is>
          <t>asesores_espirituales</t>
        </is>
      </c>
      <c r="C7" s="4" t="n">
        <v>500</v>
      </c>
      <c r="D7" s="4" t="n">
        <v>500</v>
      </c>
      <c r="E7" s="4" t="n">
        <v>500</v>
      </c>
      <c r="F7" s="4" t="n">
        <v>500</v>
      </c>
      <c r="G7" s="4" t="n">
        <v>2000</v>
      </c>
      <c r="H7" s="3" t="inlineStr">
        <is>
          <t>[PROPUESTA] sin cerrar</t>
        </is>
      </c>
    </row>
    <row r="8">
      <c r="A8" s="3" t="inlineStr">
        <is>
          <t>Sor Angelina Lebrón</t>
        </is>
      </c>
      <c r="B8" s="3" t="inlineStr">
        <is>
          <t>asesores_espirituales</t>
        </is>
      </c>
      <c r="C8" s="4" t="n">
        <v>500</v>
      </c>
      <c r="D8" s="4" t="n">
        <v>500</v>
      </c>
      <c r="E8" s="4" t="n">
        <v>500</v>
      </c>
      <c r="F8" s="4" t="n">
        <v>500</v>
      </c>
      <c r="G8" s="4" t="n">
        <v>2000</v>
      </c>
      <c r="H8" s="3" t="inlineStr">
        <is>
          <t>[PROPUESTA] sin cerrar</t>
        </is>
      </c>
    </row>
    <row r="9">
      <c r="A9" s="3" t="inlineStr">
        <is>
          <t>Adrián Francisco Santana Puente</t>
        </is>
      </c>
      <c r="B9" s="3" t="inlineStr">
        <is>
          <t>cocina</t>
        </is>
      </c>
      <c r="C9" s="4" t="n">
        <v>500</v>
      </c>
      <c r="D9" s="4" t="n">
        <v>500</v>
      </c>
      <c r="E9" s="4" t="n">
        <v>500</v>
      </c>
      <c r="F9" s="4" t="n">
        <v>500</v>
      </c>
      <c r="G9" s="4" t="n">
        <v>2000</v>
      </c>
      <c r="H9" s="3" t="inlineStr">
        <is>
          <t>[PROPUESTA] sin cerrar</t>
        </is>
      </c>
    </row>
    <row r="10">
      <c r="A10" s="3" t="inlineStr">
        <is>
          <t>Ambar Liz Jáquez Lebrón</t>
        </is>
      </c>
      <c r="B10" s="3" t="inlineStr">
        <is>
          <t>cocina</t>
        </is>
      </c>
      <c r="C10" s="4" t="n">
        <v>500</v>
      </c>
      <c r="D10" s="4" t="n">
        <v>500</v>
      </c>
      <c r="E10" s="4" t="n">
        <v>500</v>
      </c>
      <c r="F10" s="4" t="n">
        <v>500</v>
      </c>
      <c r="G10" s="4" t="n">
        <v>2000</v>
      </c>
      <c r="H10" s="3" t="inlineStr">
        <is>
          <t>[PROPUESTA] sin cerrar</t>
        </is>
      </c>
    </row>
    <row r="11">
      <c r="A11" s="3" t="inlineStr">
        <is>
          <t>Brianelis Abreu Calderón</t>
        </is>
      </c>
      <c r="B11" s="3" t="inlineStr">
        <is>
          <t>cocina</t>
        </is>
      </c>
      <c r="C11" s="4" t="n">
        <v>500</v>
      </c>
      <c r="D11" s="4" t="n">
        <v>500</v>
      </c>
      <c r="E11" s="4" t="n">
        <v>500</v>
      </c>
      <c r="F11" s="4" t="n">
        <v>500</v>
      </c>
      <c r="G11" s="4" t="n">
        <v>2000</v>
      </c>
      <c r="H11" s="3" t="inlineStr">
        <is>
          <t>[PROPUESTA] sin cerrar</t>
        </is>
      </c>
    </row>
    <row r="12">
      <c r="A12" s="3" t="inlineStr">
        <is>
          <t>Candy Elizabeth Gatwood Ramos</t>
        </is>
      </c>
      <c r="B12" s="3" t="inlineStr">
        <is>
          <t>cocina</t>
        </is>
      </c>
      <c r="C12" s="4" t="n">
        <v>500</v>
      </c>
      <c r="D12" s="4" t="n">
        <v>500</v>
      </c>
      <c r="E12" s="4" t="n">
        <v>500</v>
      </c>
      <c r="F12" s="4" t="n">
        <v>500</v>
      </c>
      <c r="G12" s="4" t="n">
        <v>2000</v>
      </c>
      <c r="H12" s="3" t="inlineStr">
        <is>
          <t>[PROPUESTA] sin cerrar</t>
        </is>
      </c>
    </row>
    <row r="13">
      <c r="A13" s="3" t="inlineStr">
        <is>
          <t>Chantal Melissa Carpio Jiménez</t>
        </is>
      </c>
      <c r="B13" s="3" t="inlineStr">
        <is>
          <t>cocina</t>
        </is>
      </c>
      <c r="C13" s="4" t="n">
        <v>500</v>
      </c>
      <c r="D13" s="4" t="n">
        <v>500</v>
      </c>
      <c r="E13" s="4" t="n">
        <v>500</v>
      </c>
      <c r="F13" s="4" t="n">
        <v>500</v>
      </c>
      <c r="G13" s="4" t="n">
        <v>2000</v>
      </c>
      <c r="H13" s="3" t="inlineStr">
        <is>
          <t>[PROPUESTA] sin cerrar</t>
        </is>
      </c>
    </row>
    <row r="14">
      <c r="A14" s="3" t="inlineStr">
        <is>
          <t>Dayrelins Jazmin Santana Salas</t>
        </is>
      </c>
      <c r="B14" s="3" t="inlineStr">
        <is>
          <t>cocina</t>
        </is>
      </c>
      <c r="C14" s="4" t="n">
        <v>500</v>
      </c>
      <c r="D14" s="4" t="n">
        <v>500</v>
      </c>
      <c r="E14" s="4" t="n">
        <v>500</v>
      </c>
      <c r="F14" s="4" t="n">
        <v>500</v>
      </c>
      <c r="G14" s="4" t="n">
        <v>2000</v>
      </c>
      <c r="H14" s="3" t="inlineStr">
        <is>
          <t>[PROPUESTA] sin cerrar</t>
        </is>
      </c>
    </row>
    <row r="15">
      <c r="A15" s="3" t="inlineStr">
        <is>
          <t>Fabelly Maciel Fabian Bello</t>
        </is>
      </c>
      <c r="B15" s="3" t="inlineStr">
        <is>
          <t>cocina</t>
        </is>
      </c>
      <c r="C15" s="4" t="n">
        <v>500</v>
      </c>
      <c r="D15" s="4" t="n">
        <v>500</v>
      </c>
      <c r="E15" s="4" t="n">
        <v>500</v>
      </c>
      <c r="F15" s="4" t="n">
        <v>500</v>
      </c>
      <c r="G15" s="4" t="n">
        <v>2000</v>
      </c>
      <c r="H15" s="3" t="inlineStr">
        <is>
          <t>[PROPUESTA] sin cerrar</t>
        </is>
      </c>
    </row>
    <row r="16">
      <c r="A16" s="3" t="inlineStr">
        <is>
          <t>Guido Maldonado</t>
        </is>
      </c>
      <c r="B16" s="3" t="inlineStr">
        <is>
          <t>cocina</t>
        </is>
      </c>
      <c r="C16" s="4" t="n">
        <v>500</v>
      </c>
      <c r="D16" s="4" t="n">
        <v>500</v>
      </c>
      <c r="E16" s="4" t="n">
        <v>500</v>
      </c>
      <c r="F16" s="4" t="n">
        <v>500</v>
      </c>
      <c r="G16" s="4" t="n">
        <v>2000</v>
      </c>
      <c r="H16" s="3" t="inlineStr">
        <is>
          <t>[PROPUESTA] sin cerrar</t>
        </is>
      </c>
    </row>
    <row r="17">
      <c r="A17" s="3" t="inlineStr">
        <is>
          <t>Johnnito Richiez Brugal</t>
        </is>
      </c>
      <c r="B17" s="3" t="inlineStr">
        <is>
          <t>cocina</t>
        </is>
      </c>
      <c r="C17" s="4" t="n">
        <v>500</v>
      </c>
      <c r="D17" s="4" t="n">
        <v>500</v>
      </c>
      <c r="E17" s="4" t="n">
        <v>500</v>
      </c>
      <c r="F17" s="4" t="n">
        <v>500</v>
      </c>
      <c r="G17" s="4" t="n">
        <v>2000</v>
      </c>
      <c r="H17" s="3" t="inlineStr">
        <is>
          <t>[PROPUESTA] sin cerrar</t>
        </is>
      </c>
    </row>
    <row r="18">
      <c r="A18" s="3" t="inlineStr">
        <is>
          <t>Jordelis Mateo</t>
        </is>
      </c>
      <c r="B18" s="3" t="inlineStr">
        <is>
          <t>cocina</t>
        </is>
      </c>
      <c r="C18" s="4" t="n">
        <v>500</v>
      </c>
      <c r="D18" s="4" t="n">
        <v>500</v>
      </c>
      <c r="E18" s="4" t="n">
        <v>500</v>
      </c>
      <c r="F18" s="4" t="n">
        <v>500</v>
      </c>
      <c r="G18" s="4" t="n">
        <v>2000</v>
      </c>
      <c r="H18" s="3" t="inlineStr">
        <is>
          <t>[PROPUESTA] sin cerrar</t>
        </is>
      </c>
    </row>
    <row r="19">
      <c r="A19" s="3" t="inlineStr">
        <is>
          <t>Kelvin Alexis Ventura Santana</t>
        </is>
      </c>
      <c r="B19" s="3" t="inlineStr">
        <is>
          <t>cocina</t>
        </is>
      </c>
      <c r="C19" s="4" t="n">
        <v>500</v>
      </c>
      <c r="D19" s="4" t="n">
        <v>500</v>
      </c>
      <c r="E19" s="4" t="n">
        <v>500</v>
      </c>
      <c r="F19" s="4" t="n">
        <v>500</v>
      </c>
      <c r="G19" s="4" t="n">
        <v>2000</v>
      </c>
      <c r="H19" s="3" t="inlineStr">
        <is>
          <t>[PROPUESTA] sin cerrar</t>
        </is>
      </c>
    </row>
    <row r="20">
      <c r="A20" s="3" t="inlineStr">
        <is>
          <t>Maria del Carmen Mejías Mateo</t>
        </is>
      </c>
      <c r="B20" s="3" t="inlineStr">
        <is>
          <t>cocina</t>
        </is>
      </c>
      <c r="C20" s="4" t="n">
        <v>500</v>
      </c>
      <c r="D20" s="4" t="n">
        <v>500</v>
      </c>
      <c r="E20" s="4" t="n">
        <v>500</v>
      </c>
      <c r="F20" s="4" t="n">
        <v>500</v>
      </c>
      <c r="G20" s="4" t="n">
        <v>2000</v>
      </c>
      <c r="H20" s="3" t="inlineStr">
        <is>
          <t>[PROPUESTA] sin cerrar</t>
        </is>
      </c>
    </row>
    <row r="21">
      <c r="A21" s="3" t="inlineStr">
        <is>
          <t>Olanlly</t>
        </is>
      </c>
      <c r="B21" s="3" t="inlineStr">
        <is>
          <t>cocina</t>
        </is>
      </c>
      <c r="C21" s="4" t="n">
        <v>500</v>
      </c>
      <c r="D21" s="4" t="n">
        <v>500</v>
      </c>
      <c r="E21" s="4" t="n">
        <v>500</v>
      </c>
      <c r="F21" s="4" t="n">
        <v>500</v>
      </c>
      <c r="G21" s="4" t="n">
        <v>2000</v>
      </c>
      <c r="H21" s="3" t="inlineStr">
        <is>
          <t>[PROPUESTA] sin cerrar</t>
        </is>
      </c>
    </row>
    <row r="22">
      <c r="A22" s="3" t="inlineStr">
        <is>
          <t>Paloma Mendez</t>
        </is>
      </c>
      <c r="B22" s="3" t="inlineStr">
        <is>
          <t>cocina</t>
        </is>
      </c>
      <c r="C22" s="4" t="n">
        <v>500</v>
      </c>
      <c r="D22" s="4" t="n">
        <v>500</v>
      </c>
      <c r="E22" s="4" t="n">
        <v>500</v>
      </c>
      <c r="F22" s="4" t="n">
        <v>500</v>
      </c>
      <c r="G22" s="4" t="n">
        <v>2000</v>
      </c>
      <c r="H22" s="3" t="inlineStr">
        <is>
          <t>[PROPUESTA] sin cerrar</t>
        </is>
      </c>
    </row>
    <row r="23">
      <c r="A23" s="3" t="inlineStr">
        <is>
          <t>Pamela</t>
        </is>
      </c>
      <c r="B23" s="3" t="inlineStr">
        <is>
          <t>cocina</t>
        </is>
      </c>
      <c r="C23" s="4" t="n">
        <v>500</v>
      </c>
      <c r="D23" s="4" t="n">
        <v>500</v>
      </c>
      <c r="E23" s="4" t="n">
        <v>500</v>
      </c>
      <c r="F23" s="4" t="n">
        <v>500</v>
      </c>
      <c r="G23" s="4" t="n">
        <v>2000</v>
      </c>
      <c r="H23" s="3" t="inlineStr">
        <is>
          <t>[PROPUESTA] sin cerrar</t>
        </is>
      </c>
    </row>
    <row r="24">
      <c r="A24" s="3" t="inlineStr">
        <is>
          <t>Risaira Santana Rosario</t>
        </is>
      </c>
      <c r="B24" s="3" t="inlineStr">
        <is>
          <t>cocina</t>
        </is>
      </c>
      <c r="C24" s="4" t="n">
        <v>500</v>
      </c>
      <c r="D24" s="4" t="n">
        <v>500</v>
      </c>
      <c r="E24" s="4" t="n">
        <v>500</v>
      </c>
      <c r="F24" s="4" t="n">
        <v>500</v>
      </c>
      <c r="G24" s="4" t="n">
        <v>2000</v>
      </c>
      <c r="H24" s="3" t="inlineStr">
        <is>
          <t>[PROPUESTA] sin cerrar</t>
        </is>
      </c>
    </row>
    <row r="25">
      <c r="A25" s="3" t="inlineStr">
        <is>
          <t>Risairi Santana Rosario</t>
        </is>
      </c>
      <c r="B25" s="3" t="inlineStr">
        <is>
          <t>cocina</t>
        </is>
      </c>
      <c r="C25" s="4" t="n">
        <v>500</v>
      </c>
      <c r="D25" s="4" t="n">
        <v>500</v>
      </c>
      <c r="E25" s="4" t="n">
        <v>500</v>
      </c>
      <c r="F25" s="4" t="n">
        <v>500</v>
      </c>
      <c r="G25" s="4" t="n">
        <v>2000</v>
      </c>
      <c r="H25" s="3" t="inlineStr">
        <is>
          <t>[PROPUESTA] sin cerrar</t>
        </is>
      </c>
    </row>
    <row r="26">
      <c r="A26" s="3" t="inlineStr">
        <is>
          <t>Roberto Figueroa</t>
        </is>
      </c>
      <c r="B26" s="3" t="inlineStr">
        <is>
          <t>cocina</t>
        </is>
      </c>
      <c r="C26" s="4" t="n">
        <v>500</v>
      </c>
      <c r="D26" s="4" t="n">
        <v>500</v>
      </c>
      <c r="E26" s="4" t="n">
        <v>500</v>
      </c>
      <c r="F26" s="4" t="n">
        <v>500</v>
      </c>
      <c r="G26" s="4" t="n">
        <v>2000</v>
      </c>
      <c r="H26" s="3" t="inlineStr">
        <is>
          <t>[PROPUESTA] sin cerrar</t>
        </is>
      </c>
    </row>
    <row r="27">
      <c r="A27" s="3" t="inlineStr">
        <is>
          <t>Tommy Nova Nolasco</t>
        </is>
      </c>
      <c r="B27" s="3" t="inlineStr">
        <is>
          <t>cocina</t>
        </is>
      </c>
      <c r="C27" s="4" t="n">
        <v>500</v>
      </c>
      <c r="D27" s="4" t="n">
        <v>500</v>
      </c>
      <c r="E27" s="4" t="n">
        <v>500</v>
      </c>
      <c r="F27" s="4" t="n">
        <v>500</v>
      </c>
      <c r="G27" s="4" t="n">
        <v>2000</v>
      </c>
      <c r="H27" s="3" t="inlineStr">
        <is>
          <t>[PROPUESTA] sin cerrar</t>
        </is>
      </c>
    </row>
    <row r="28">
      <c r="A28" s="3" t="inlineStr">
        <is>
          <t>Wirna Miguelina Stapleton Pilier</t>
        </is>
      </c>
      <c r="B28" s="3" t="inlineStr">
        <is>
          <t>cocina</t>
        </is>
      </c>
      <c r="C28" s="4" t="n">
        <v>500</v>
      </c>
      <c r="D28" s="4" t="n">
        <v>500</v>
      </c>
      <c r="E28" s="4" t="n">
        <v>500</v>
      </c>
      <c r="F28" s="4" t="n">
        <v>500</v>
      </c>
      <c r="G28" s="4" t="n">
        <v>2000</v>
      </c>
      <c r="H28" s="3" t="inlineStr">
        <is>
          <t>[PROPUESTA] sin cerrar</t>
        </is>
      </c>
    </row>
    <row r="29">
      <c r="A29" s="3" t="inlineStr">
        <is>
          <t>Jean Carlo De la Cruz Mendez</t>
        </is>
      </c>
      <c r="B29" s="3" t="inlineStr">
        <is>
          <t>directores</t>
        </is>
      </c>
      <c r="C29" s="4" t="n">
        <v>500</v>
      </c>
      <c r="D29" s="4" t="n">
        <v>500</v>
      </c>
      <c r="E29" s="4" t="n">
        <v>500</v>
      </c>
      <c r="F29" s="4" t="n">
        <v>500</v>
      </c>
      <c r="G29" s="4" t="n">
        <v>2000</v>
      </c>
      <c r="H29" s="3" t="inlineStr">
        <is>
          <t>[PROPUESTA] sin cerrar</t>
        </is>
      </c>
    </row>
    <row r="30">
      <c r="A30" s="3" t="inlineStr">
        <is>
          <t>Juan Manuel de la Cruz Méndez</t>
        </is>
      </c>
      <c r="B30" s="3" t="inlineStr">
        <is>
          <t>directores</t>
        </is>
      </c>
      <c r="C30" s="4" t="n">
        <v>500</v>
      </c>
      <c r="D30" s="4" t="n">
        <v>500</v>
      </c>
      <c r="E30" s="4" t="n">
        <v>500</v>
      </c>
      <c r="F30" s="4" t="n">
        <v>500</v>
      </c>
      <c r="G30" s="4" t="n">
        <v>2000</v>
      </c>
      <c r="H30" s="3" t="inlineStr">
        <is>
          <t>[PROPUESTA] sin cerrar</t>
        </is>
      </c>
    </row>
    <row r="31">
      <c r="A31" s="3" t="inlineStr">
        <is>
          <t>Camila Fernández Hazim</t>
        </is>
      </c>
      <c r="B31" s="3" t="inlineStr">
        <is>
          <t>guias</t>
        </is>
      </c>
      <c r="C31" s="4" t="n">
        <v>500</v>
      </c>
      <c r="D31" s="4" t="n">
        <v>500</v>
      </c>
      <c r="E31" s="4" t="n">
        <v>500</v>
      </c>
      <c r="F31" s="4" t="n">
        <v>500</v>
      </c>
      <c r="G31" s="4" t="n">
        <v>2000</v>
      </c>
      <c r="H31" s="3" t="inlineStr">
        <is>
          <t>[PROPUESTA] sin cerrar</t>
        </is>
      </c>
    </row>
    <row r="32">
      <c r="A32" s="3" t="inlineStr">
        <is>
          <t>Darianny Rodriguez Belliard</t>
        </is>
      </c>
      <c r="B32" s="3" t="inlineStr">
        <is>
          <t>guias</t>
        </is>
      </c>
      <c r="C32" s="4" t="n">
        <v>500</v>
      </c>
      <c r="D32" s="4" t="n">
        <v>500</v>
      </c>
      <c r="E32" s="4" t="n">
        <v>500</v>
      </c>
      <c r="F32" s="4" t="n">
        <v>500</v>
      </c>
      <c r="G32" s="4" t="n">
        <v>2000</v>
      </c>
      <c r="H32" s="3" t="inlineStr">
        <is>
          <t>[PROPUESTA] sin cerrar</t>
        </is>
      </c>
    </row>
    <row r="33">
      <c r="A33" s="3" t="inlineStr">
        <is>
          <t>Fernando Cordero</t>
        </is>
      </c>
      <c r="B33" s="3" t="inlineStr">
        <is>
          <t>guias</t>
        </is>
      </c>
      <c r="C33" s="4" t="n">
        <v>500</v>
      </c>
      <c r="D33" s="4" t="n">
        <v>500</v>
      </c>
      <c r="E33" s="4" t="n">
        <v>500</v>
      </c>
      <c r="F33" s="4" t="n">
        <v>500</v>
      </c>
      <c r="G33" s="4" t="n">
        <v>2000</v>
      </c>
      <c r="H33" s="3" t="inlineStr">
        <is>
          <t>[PROPUESTA] sin cerrar</t>
        </is>
      </c>
    </row>
    <row r="34">
      <c r="A34" s="3" t="inlineStr">
        <is>
          <t>Franklin De Jesús Silverio Delgadillo</t>
        </is>
      </c>
      <c r="B34" s="3" t="inlineStr">
        <is>
          <t>guias</t>
        </is>
      </c>
      <c r="C34" s="4" t="n">
        <v>500</v>
      </c>
      <c r="D34" s="4" t="n">
        <v>500</v>
      </c>
      <c r="E34" s="4" t="n">
        <v>500</v>
      </c>
      <c r="F34" s="4" t="n">
        <v>500</v>
      </c>
      <c r="G34" s="4" t="n">
        <v>2000</v>
      </c>
      <c r="H34" s="3" t="inlineStr">
        <is>
          <t>[PROPUESTA] sin cerrar</t>
        </is>
      </c>
    </row>
    <row r="35">
      <c r="A35" s="3" t="inlineStr">
        <is>
          <t>Ivanna Marien Mercedes Sosa</t>
        </is>
      </c>
      <c r="B35" s="3" t="inlineStr">
        <is>
          <t>guias</t>
        </is>
      </c>
      <c r="C35" s="4" t="n">
        <v>500</v>
      </c>
      <c r="D35" s="4" t="n">
        <v>500</v>
      </c>
      <c r="E35" s="4" t="n">
        <v>500</v>
      </c>
      <c r="F35" s="4" t="n">
        <v>500</v>
      </c>
      <c r="G35" s="4" t="n">
        <v>2000</v>
      </c>
      <c r="H35" s="3" t="inlineStr">
        <is>
          <t>[PROPUESTA] sin cerrar</t>
        </is>
      </c>
    </row>
    <row r="36">
      <c r="A36" s="3" t="inlineStr">
        <is>
          <t>Jhonnalia Franchesca Silvestre Guzmán</t>
        </is>
      </c>
      <c r="B36" s="3" t="inlineStr">
        <is>
          <t>guias</t>
        </is>
      </c>
      <c r="C36" s="4" t="n">
        <v>500</v>
      </c>
      <c r="D36" s="4" t="n">
        <v>500</v>
      </c>
      <c r="E36" s="4" t="n">
        <v>500</v>
      </c>
      <c r="F36" s="4" t="n">
        <v>500</v>
      </c>
      <c r="G36" s="4" t="n">
        <v>2000</v>
      </c>
      <c r="H36" s="3" t="inlineStr">
        <is>
          <t>[PROPUESTA] sin cerrar</t>
        </is>
      </c>
    </row>
    <row r="37">
      <c r="A37" s="3" t="inlineStr">
        <is>
          <t>Jonathan Andres Medina Mota</t>
        </is>
      </c>
      <c r="B37" s="3" t="inlineStr">
        <is>
          <t>guias</t>
        </is>
      </c>
      <c r="C37" s="4" t="n">
        <v>500</v>
      </c>
      <c r="D37" s="4" t="n">
        <v>500</v>
      </c>
      <c r="E37" s="4" t="n">
        <v>500</v>
      </c>
      <c r="F37" s="4" t="n">
        <v>500</v>
      </c>
      <c r="G37" s="4" t="n">
        <v>2000</v>
      </c>
      <c r="H37" s="3" t="inlineStr">
        <is>
          <t>[PROPUESTA] sin cerrar</t>
        </is>
      </c>
    </row>
    <row r="38">
      <c r="A38" s="3" t="inlineStr">
        <is>
          <t>Juan Pablo Argüello Alzate</t>
        </is>
      </c>
      <c r="B38" s="3" t="inlineStr">
        <is>
          <t>guias</t>
        </is>
      </c>
      <c r="C38" s="4" t="n">
        <v>500</v>
      </c>
      <c r="D38" s="4" t="n">
        <v>500</v>
      </c>
      <c r="E38" s="4" t="n">
        <v>500</v>
      </c>
      <c r="F38" s="4" t="n">
        <v>500</v>
      </c>
      <c r="G38" s="4" t="n">
        <v>2000</v>
      </c>
      <c r="H38" s="3" t="inlineStr">
        <is>
          <t>[PROPUESTA] sin cerrar</t>
        </is>
      </c>
    </row>
    <row r="39">
      <c r="A39" s="3" t="inlineStr">
        <is>
          <t>Luisa Maria Fiorentino Brugal</t>
        </is>
      </c>
      <c r="B39" s="3" t="inlineStr">
        <is>
          <t>guias</t>
        </is>
      </c>
      <c r="C39" s="4" t="n">
        <v>500</v>
      </c>
      <c r="D39" s="4" t="n">
        <v>500</v>
      </c>
      <c r="E39" s="4" t="n">
        <v>500</v>
      </c>
      <c r="F39" s="4" t="n">
        <v>500</v>
      </c>
      <c r="G39" s="4" t="n">
        <v>2000</v>
      </c>
      <c r="H39" s="3" t="inlineStr">
        <is>
          <t>[PROPUESTA] sin cerrar</t>
        </is>
      </c>
    </row>
    <row r="40">
      <c r="A40" s="3" t="inlineStr">
        <is>
          <t>Oliver Rafael De León Ramírez</t>
        </is>
      </c>
      <c r="B40" s="3" t="inlineStr">
        <is>
          <t>guias</t>
        </is>
      </c>
      <c r="C40" s="4" t="n">
        <v>500</v>
      </c>
      <c r="D40" s="4" t="n">
        <v>500</v>
      </c>
      <c r="E40" s="4" t="n">
        <v>500</v>
      </c>
      <c r="F40" s="4" t="n">
        <v>500</v>
      </c>
      <c r="G40" s="4" t="n">
        <v>2000</v>
      </c>
      <c r="H40" s="3" t="inlineStr">
        <is>
          <t>[PROPUESTA] sin cerrar</t>
        </is>
      </c>
    </row>
    <row r="41">
      <c r="A41" s="3" t="inlineStr">
        <is>
          <t>Priscilla Hidalgo Pou</t>
        </is>
      </c>
      <c r="B41" s="3" t="inlineStr">
        <is>
          <t>guias</t>
        </is>
      </c>
      <c r="C41" s="4" t="n">
        <v>500</v>
      </c>
      <c r="D41" s="4" t="n">
        <v>500</v>
      </c>
      <c r="E41" s="4" t="n">
        <v>500</v>
      </c>
      <c r="F41" s="4" t="n">
        <v>500</v>
      </c>
      <c r="G41" s="4" t="n">
        <v>2000</v>
      </c>
      <c r="H41" s="3" t="inlineStr">
        <is>
          <t>[PROPUESTA] sin cerrar</t>
        </is>
      </c>
    </row>
    <row r="42">
      <c r="A42" s="3" t="inlineStr">
        <is>
          <t>Victoria Lorenzo Rivera</t>
        </is>
      </c>
      <c r="B42" s="3" t="inlineStr">
        <is>
          <t>guias</t>
        </is>
      </c>
      <c r="C42" s="4" t="n">
        <v>500</v>
      </c>
      <c r="D42" s="4" t="n">
        <v>500</v>
      </c>
      <c r="E42" s="4" t="n">
        <v>500</v>
      </c>
      <c r="F42" s="4" t="n">
        <v>500</v>
      </c>
      <c r="G42" s="4" t="n">
        <v>2000</v>
      </c>
      <c r="H42" s="3" t="inlineStr">
        <is>
          <t>[PROPUESTA] sin cerrar</t>
        </is>
      </c>
    </row>
    <row r="43">
      <c r="A43" s="3" t="inlineStr">
        <is>
          <t>Wilka María Reyes Mota</t>
        </is>
      </c>
      <c r="B43" s="3" t="inlineStr">
        <is>
          <t>guias</t>
        </is>
      </c>
      <c r="C43" s="4" t="n">
        <v>500</v>
      </c>
      <c r="D43" s="4" t="n">
        <v>500</v>
      </c>
      <c r="E43" s="4" t="n">
        <v>500</v>
      </c>
      <c r="F43" s="4" t="n">
        <v>500</v>
      </c>
      <c r="G43" s="4" t="n">
        <v>2000</v>
      </c>
      <c r="H43" s="3" t="inlineStr">
        <is>
          <t>[PROPUESTA] sin cerrar</t>
        </is>
      </c>
    </row>
    <row r="44">
      <c r="A44" s="3" t="inlineStr">
        <is>
          <t>Yelaxni Mota</t>
        </is>
      </c>
      <c r="B44" s="3" t="inlineStr">
        <is>
          <t>guias</t>
        </is>
      </c>
      <c r="C44" s="4" t="n">
        <v>500</v>
      </c>
      <c r="D44" s="4" t="n">
        <v>500</v>
      </c>
      <c r="E44" s="4" t="n">
        <v>500</v>
      </c>
      <c r="F44" s="4" t="n">
        <v>500</v>
      </c>
      <c r="G44" s="4" t="n">
        <v>2000</v>
      </c>
      <c r="H44" s="3" t="inlineStr">
        <is>
          <t>[PROPUESTA] sin cerrar</t>
        </is>
      </c>
    </row>
    <row r="45">
      <c r="A45" s="3" t="inlineStr">
        <is>
          <t>Daylin</t>
        </is>
      </c>
      <c r="B45" s="3" t="inlineStr">
        <is>
          <t>musica</t>
        </is>
      </c>
      <c r="C45" s="4" t="n">
        <v>500</v>
      </c>
      <c r="D45" s="4" t="n">
        <v>500</v>
      </c>
      <c r="E45" s="4" t="n">
        <v>500</v>
      </c>
      <c r="F45" s="4" t="n">
        <v>500</v>
      </c>
      <c r="G45" s="4" t="n">
        <v>2000</v>
      </c>
      <c r="H45" s="3" t="inlineStr">
        <is>
          <t>[PROPUESTA] sin cerrar</t>
        </is>
      </c>
    </row>
    <row r="46">
      <c r="A46" s="3" t="inlineStr">
        <is>
          <t>Dorian Elina Rodriguez Belliard</t>
        </is>
      </c>
      <c r="B46" s="3" t="inlineStr">
        <is>
          <t>musica</t>
        </is>
      </c>
      <c r="C46" s="4" t="n">
        <v>500</v>
      </c>
      <c r="D46" s="4" t="n">
        <v>500</v>
      </c>
      <c r="E46" s="4" t="n">
        <v>500</v>
      </c>
      <c r="F46" s="4" t="n">
        <v>500</v>
      </c>
      <c r="G46" s="4" t="n">
        <v>2000</v>
      </c>
      <c r="H46" s="3" t="inlineStr">
        <is>
          <t>[PROPUESTA] sin cerrar</t>
        </is>
      </c>
    </row>
    <row r="47">
      <c r="A47" s="3" t="inlineStr">
        <is>
          <t>Ismarie Sthepanie Constanzo Ramos</t>
        </is>
      </c>
      <c r="B47" s="3" t="inlineStr">
        <is>
          <t>musica</t>
        </is>
      </c>
      <c r="C47" s="4" t="n">
        <v>500</v>
      </c>
      <c r="D47" s="4" t="n">
        <v>500</v>
      </c>
      <c r="E47" s="4" t="n">
        <v>500</v>
      </c>
      <c r="F47" s="4" t="n">
        <v>500</v>
      </c>
      <c r="G47" s="4" t="n">
        <v>2000</v>
      </c>
      <c r="H47" s="3" t="inlineStr">
        <is>
          <t>[PROPUESTA] sin cerrar</t>
        </is>
      </c>
    </row>
    <row r="48">
      <c r="A48" s="3" t="inlineStr">
        <is>
          <t>José Ángel Tusen Russo</t>
        </is>
      </c>
      <c r="B48" s="3" t="inlineStr">
        <is>
          <t>musica</t>
        </is>
      </c>
      <c r="C48" s="4" t="n">
        <v>500</v>
      </c>
      <c r="D48" s="4" t="n">
        <v>500</v>
      </c>
      <c r="E48" s="4" t="n">
        <v>500</v>
      </c>
      <c r="F48" s="4" t="n">
        <v>500</v>
      </c>
      <c r="G48" s="4" t="n">
        <v>2000</v>
      </c>
      <c r="H48" s="3" t="inlineStr">
        <is>
          <t>[PROPUESTA] sin cerrar</t>
        </is>
      </c>
    </row>
    <row r="49">
      <c r="A49" s="3" t="inlineStr">
        <is>
          <t>Leober Carrion Soriano</t>
        </is>
      </c>
      <c r="B49" s="3" t="inlineStr">
        <is>
          <t>musica</t>
        </is>
      </c>
      <c r="C49" s="4" t="n">
        <v>500</v>
      </c>
      <c r="D49" s="4" t="n">
        <v>500</v>
      </c>
      <c r="E49" s="4" t="n">
        <v>500</v>
      </c>
      <c r="F49" s="4" t="n">
        <v>500</v>
      </c>
      <c r="G49" s="4" t="n">
        <v>2000</v>
      </c>
      <c r="H49" s="3" t="inlineStr">
        <is>
          <t>[PROPUESTA] sin cerrar</t>
        </is>
      </c>
    </row>
    <row r="50">
      <c r="A50" s="3" t="inlineStr">
        <is>
          <t>Mary Carmen Ramírez Vásquez</t>
        </is>
      </c>
      <c r="B50" s="3" t="inlineStr">
        <is>
          <t>musica</t>
        </is>
      </c>
      <c r="C50" s="4" t="n">
        <v>500</v>
      </c>
      <c r="D50" s="4" t="n">
        <v>500</v>
      </c>
      <c r="E50" s="4" t="n">
        <v>500</v>
      </c>
      <c r="F50" s="4" t="n">
        <v>500</v>
      </c>
      <c r="G50" s="4" t="n">
        <v>2000</v>
      </c>
      <c r="H50" s="3" t="inlineStr">
        <is>
          <t>[PROPUESTA] sin cerrar</t>
        </is>
      </c>
    </row>
    <row r="52">
      <c r="A52" s="5" t="inlineStr">
        <is>
          <t>TOTAL OBJETIVO (propuesta)</t>
        </is>
      </c>
      <c r="B52" s="5" t="inlineStr"/>
      <c r="C52" s="6" t="n">
        <v>23500</v>
      </c>
      <c r="D52" s="6" t="n">
        <v>23500</v>
      </c>
      <c r="E52" s="6" t="n">
        <v>23500</v>
      </c>
      <c r="F52" s="6" t="n">
        <v>23500</v>
      </c>
      <c r="G52" s="6" t="n">
        <v>94000</v>
      </c>
      <c r="H52" s="5" t="inlineStr">
        <is>
          <t xml:space="preserve">[PROPUESTA] 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</cols>
  <sheetData>
    <row r="1" ht="28" customHeight="1">
      <c r="A1" s="11" t="inlineStr">
        <is>
          <t>CAMISETAS DEL EQUIPO · tallas (parcial) — mockup tras el Design System</t>
        </is>
      </c>
    </row>
    <row r="3" ht="26" customHeight="1">
      <c r="A3" s="12" t="inlineStr">
        <is>
          <t>Talla</t>
        </is>
      </c>
      <c r="B3" s="12" t="inlineStr">
        <is>
          <t>Cantidad</t>
        </is>
      </c>
      <c r="C3" s="12" t="inlineStr">
        <is>
          <t>Notas</t>
        </is>
      </c>
    </row>
    <row r="4">
      <c r="A4" s="3" t="inlineStr">
        <is>
          <t>S</t>
        </is>
      </c>
      <c r="B4" s="4" t="n">
        <v>10</v>
      </c>
      <c r="C4" s="3" t="inlineStr"/>
    </row>
    <row r="5">
      <c r="A5" s="3" t="inlineStr">
        <is>
          <t>M</t>
        </is>
      </c>
      <c r="B5" s="4" t="n">
        <v>19</v>
      </c>
      <c r="C5" s="3" t="inlineStr"/>
    </row>
    <row r="6">
      <c r="A6" s="3" t="inlineStr">
        <is>
          <t>L</t>
        </is>
      </c>
      <c r="B6" s="4" t="n">
        <v>8</v>
      </c>
      <c r="C6" s="3" t="inlineStr"/>
    </row>
    <row r="7">
      <c r="A7" s="3" t="inlineStr">
        <is>
          <t>XL</t>
        </is>
      </c>
      <c r="B7" s="4" t="n">
        <v>3</v>
      </c>
      <c r="C7" s="3" t="inlineStr"/>
    </row>
    <row r="8">
      <c r="A8" s="3" t="inlineStr">
        <is>
          <t>XXL</t>
        </is>
      </c>
      <c r="B8" s="4" t="n">
        <v>1</v>
      </c>
      <c r="C8" s="3" t="inlineStr"/>
    </row>
    <row r="9">
      <c r="A9" s="5" t="inlineStr">
        <is>
          <t>CON talla</t>
        </is>
      </c>
      <c r="B9" s="6" t="n">
        <v>41</v>
      </c>
      <c r="C9" s="5" t="inlineStr">
        <is>
          <t>de 52 del equipo</t>
        </is>
      </c>
    </row>
    <row r="10">
      <c r="A10" s="5" t="inlineStr">
        <is>
          <t>FALTAN talla</t>
        </is>
      </c>
      <c r="B10" s="6" t="n">
        <v>11</v>
      </c>
      <c r="C10" s="5" t="inlineStr">
        <is>
          <t>pedir antes de imprimir</t>
        </is>
      </c>
    </row>
    <row r="12">
      <c r="A12" s="17" t="inlineStr">
        <is>
          <t>A QUIÉNES FALTA LA TALLA:</t>
        </is>
      </c>
    </row>
    <row r="13" ht="26" customHeight="1">
      <c r="A13" s="8" t="inlineStr">
        <is>
          <t>Nombre</t>
        </is>
      </c>
      <c r="B13" s="8" t="inlineStr">
        <is>
          <t>Área</t>
        </is>
      </c>
      <c r="C13" s="8" t="inlineStr">
        <is>
          <t>Motivo</t>
        </is>
      </c>
    </row>
    <row r="14">
      <c r="A14" s="3" t="inlineStr">
        <is>
          <t>Frank Morales</t>
        </is>
      </c>
      <c r="B14" s="3" t="inlineStr">
        <is>
          <t>asesores</t>
        </is>
      </c>
      <c r="C14" s="3" t="inlineStr">
        <is>
          <t>sin formulario</t>
        </is>
      </c>
    </row>
    <row r="15">
      <c r="A15" s="3" t="inlineStr">
        <is>
          <t>Johanny García</t>
        </is>
      </c>
      <c r="B15" s="3" t="inlineStr">
        <is>
          <t>asesores_cocina</t>
        </is>
      </c>
      <c r="C15" s="3" t="inlineStr">
        <is>
          <t>sin formulario</t>
        </is>
      </c>
    </row>
    <row r="16">
      <c r="A16" s="3" t="inlineStr">
        <is>
          <t>Mary "Petra" Morales</t>
        </is>
      </c>
      <c r="B16" s="3" t="inlineStr">
        <is>
          <t>asesores_cocina</t>
        </is>
      </c>
      <c r="C16" s="3" t="inlineStr">
        <is>
          <t>sin formulario</t>
        </is>
      </c>
    </row>
    <row r="17">
      <c r="A17" s="3" t="inlineStr">
        <is>
          <t>Leticia González</t>
        </is>
      </c>
      <c r="B17" s="3" t="inlineStr">
        <is>
          <t>asesores_diocesanos</t>
        </is>
      </c>
      <c r="C17" s="3" t="inlineStr">
        <is>
          <t>sin formulario</t>
        </is>
      </c>
    </row>
    <row r="18">
      <c r="A18" s="3" t="inlineStr">
        <is>
          <t>Marleny</t>
        </is>
      </c>
      <c r="B18" s="3" t="inlineStr">
        <is>
          <t>asesores_diocesanos</t>
        </is>
      </c>
      <c r="C18" s="3" t="inlineStr">
        <is>
          <t>sin formulario</t>
        </is>
      </c>
    </row>
    <row r="19">
      <c r="A19" s="3" t="inlineStr">
        <is>
          <t>Sandrita</t>
        </is>
      </c>
      <c r="B19" s="3" t="inlineStr">
        <is>
          <t>asesores_diocesanos</t>
        </is>
      </c>
      <c r="C19" s="3" t="inlineStr">
        <is>
          <t>sin formulario</t>
        </is>
      </c>
    </row>
    <row r="20">
      <c r="A20" s="3" t="inlineStr">
        <is>
          <t>Padre Paul Ramírez</t>
        </is>
      </c>
      <c r="B20" s="3" t="inlineStr">
        <is>
          <t>asesores_espirituales</t>
        </is>
      </c>
      <c r="C20" s="3" t="inlineStr">
        <is>
          <t>sin formulario</t>
        </is>
      </c>
    </row>
    <row r="21">
      <c r="A21" s="3" t="inlineStr">
        <is>
          <t>Sor Angelina Lebrón</t>
        </is>
      </c>
      <c r="B21" s="3" t="inlineStr">
        <is>
          <t>asesores_espirituales</t>
        </is>
      </c>
      <c r="C21" s="3" t="inlineStr">
        <is>
          <t>sin formulario</t>
        </is>
      </c>
    </row>
    <row r="22">
      <c r="A22" s="3" t="inlineStr">
        <is>
          <t>Olanlly</t>
        </is>
      </c>
      <c r="B22" s="3" t="inlineStr">
        <is>
          <t>cocina</t>
        </is>
      </c>
      <c r="C22" s="3" t="inlineStr">
        <is>
          <t>sin formulario</t>
        </is>
      </c>
    </row>
    <row r="23">
      <c r="A23" s="3" t="inlineStr">
        <is>
          <t>Pamela</t>
        </is>
      </c>
      <c r="B23" s="3" t="inlineStr">
        <is>
          <t>cocina</t>
        </is>
      </c>
      <c r="C23" s="3" t="inlineStr">
        <is>
          <t>sin formulario</t>
        </is>
      </c>
    </row>
    <row r="24">
      <c r="A24" s="3" t="inlineStr">
        <is>
          <t>Daylin</t>
        </is>
      </c>
      <c r="B24" s="3" t="inlineStr">
        <is>
          <t>musica</t>
        </is>
      </c>
      <c r="C24" s="3" t="inlineStr">
        <is>
          <t>sin formulario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FINANZAS ETC 88 — HOJA VIVA · v8 · 2-jun-2026</t>
        </is>
      </c>
    </row>
    <row r="2">
      <c r="A2" s="19" t="inlineStr"/>
    </row>
    <row r="3">
      <c r="A3" s="18" t="inlineStr">
        <is>
          <t>Cómo se usa:</t>
        </is>
      </c>
    </row>
    <row r="4">
      <c r="A4" s="19" t="inlineStr">
        <is>
          <t>1. La pestaña Resumen es la foto ejecutiva. Lee primero.</t>
        </is>
      </c>
    </row>
    <row r="5">
      <c r="A5" s="19" t="inlineStr">
        <is>
          <t>2. Las pestañas por área (Casa, Cocina-Compras, Materiales, Guías, Música, Formaciones, Transporte)</t>
        </is>
      </c>
    </row>
    <row r="6">
      <c r="A6" s="19" t="inlineStr">
        <is>
          <t xml:space="preserve">   son lo que cada coordinador entrega y refina en F1 (14-jun). Precios son ESTIMADOS a validar.</t>
        </is>
      </c>
    </row>
    <row r="7">
      <c r="A7" s="19" t="inlineStr">
        <is>
          <t>3. Menú es estructura sin precios; cocina lo refina y de ahí salen las cantidades de Cocina-Compras.</t>
        </is>
      </c>
    </row>
    <row r="8">
      <c r="A8" s="19" t="inlineStr">
        <is>
          <t>4. Recaudación: la META = el costo total. Se cubre con cuotas (participantes + equipo) +</t>
        </is>
      </c>
    </row>
    <row r="9">
      <c r="A9" s="19" t="inlineStr">
        <is>
          <t xml:space="preserve">   rifa + venta de comida + donaciones (montos VARIABLES, lo que se recaude).</t>
        </is>
      </c>
    </row>
    <row r="10">
      <c r="A10" s="19" t="inlineStr">
        <is>
          <t>5. Pagos Equipo: cuota PROPUESTA de $500/mes (total $1,500–2,000/persona). SIN CERRAR — la decide la Dirección.</t>
        </is>
      </c>
    </row>
    <row r="11">
      <c r="A11" s="19" t="inlineStr"/>
    </row>
    <row r="12">
      <c r="A12" s="18" t="inlineStr">
        <is>
          <t>CONTEXTO CRÍTICO:</t>
        </is>
      </c>
    </row>
    <row r="13">
      <c r="A13" s="19" t="inlineStr">
        <is>
          <t>• Arrancamos en NEGATIVO: $23,600 (10% reserva casa pagada por Juan Manuel ya devuelto al Consejo).</t>
        </is>
      </c>
    </row>
    <row r="14">
      <c r="A14" s="19" t="inlineStr">
        <is>
          <t xml:space="preserve">  Es la PRIMERA deuda a cubrir con la recaudación.</t>
        </is>
      </c>
    </row>
    <row r="15">
      <c r="A15" s="19" t="inlineStr">
        <is>
          <t>• La casa INCLUYE gas y limpieza (no se compra). Con exención: $2,000/p; sin exención: $2,300/p.</t>
        </is>
      </c>
    </row>
    <row r="16">
      <c r="A16" s="19" t="inlineStr">
        <is>
          <t>• Casa tiene sonido (música solo lleva respaldo).</t>
        </is>
      </c>
    </row>
    <row r="17">
      <c r="A17" s="19" t="inlineStr">
        <is>
          <t>• Piso de personas: completar 100 en la casa (≈47 operativos + ~53 participantes).</t>
        </is>
      </c>
    </row>
    <row r="18">
      <c r="A18" s="19" t="inlineStr"/>
    </row>
    <row r="19">
      <c r="A19" s="18" t="inlineStr">
        <is>
          <t>PENDIENTES PARA CERRAR EL PRESUPUESTO:</t>
        </is>
      </c>
    </row>
    <row r="20">
      <c r="A20" s="19" t="inlineStr">
        <is>
          <t>• Cerrar el monto final de la cuota del equipo (propuesta $500/mes, total $1,500–2,000).</t>
        </is>
      </c>
    </row>
    <row r="21">
      <c r="A21" s="19" t="inlineStr">
        <is>
          <t>• Gestionar exención con el Padre Paul (impacto ~$30,000 a 100 personas).</t>
        </is>
      </c>
    </row>
    <row r="22">
      <c r="A22" s="19" t="inlineStr">
        <is>
          <t>• Cotizar transporte (3 empresas) · fijar fecha límite (también biblias y peces).</t>
        </is>
      </c>
    </row>
    <row r="23">
      <c r="A23" s="19" t="inlineStr">
        <is>
          <t>• Banderín: diseño + cotización.</t>
        </is>
      </c>
    </row>
    <row r="24">
      <c r="A24" s="19" t="inlineStr">
        <is>
          <t>• Confirmar el conteo final para completar 100 en la casa (afecta peces, biblias, comida).</t>
        </is>
      </c>
    </row>
    <row r="25">
      <c r="A25" s="19" t="inlineStr">
        <is>
          <t>• Donaciones en especie: arroz, habichuelas, aceite (el ETC 79 los consiguió donados).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2026-06-02T19:28:28Z</dcterms:created>
  <dcterms:modified xmlns:dcterms="http://purl.org/dc/terms/" xmlns:xsi="http://www.w3.org/2001/XMLSchema-instance" xsi:type="dcterms:W3CDTF">2026-06-02T19:28:29Z</dcterms:modified>
</cp:coreProperties>
</file>